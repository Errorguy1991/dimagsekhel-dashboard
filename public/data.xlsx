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fe8dbd7e587260d6/Documents/"/>
    </mc:Choice>
  </mc:AlternateContent>
  <xr:revisionPtr revIDLastSave="438" documentId="8_{A631E3BF-1C16-4BF0-B590-D86640837509}" xr6:coauthVersionLast="47" xr6:coauthVersionMax="47" xr10:uidLastSave="{1C35D109-1949-4866-BB08-B96F5183DD4B}"/>
  <bookViews>
    <workbookView xWindow="-110" yWindow="-110" windowWidth="25820" windowHeight="13900" firstSheet="1" activeTab="1" xr2:uid="{00000000-000D-0000-FFFF-FFFF00000000}"/>
  </bookViews>
  <sheets>
    <sheet name="IPL 2026" sheetId="1" r:id="rId1"/>
    <sheet name="Ohana Matches" sheetId="2" r:id="rId2"/>
    <sheet name="Winner" sheetId="3" r:id="rId3"/>
    <sheet name="Winner Calculation" sheetId="4" r:id="rId4"/>
    <sheet name="Winning Amount" sheetId="5" r:id="rId5"/>
    <sheet name="Mapping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2" i="4"/>
  <c r="B15" i="5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E2" i="4"/>
  <c r="F2" i="4"/>
  <c r="G2" i="4"/>
  <c r="I2" i="4"/>
  <c r="K2" i="4"/>
  <c r="M2" i="4"/>
  <c r="N2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N11" i="4"/>
  <c r="N12" i="4"/>
  <c r="M11" i="4"/>
  <c r="M12" i="4"/>
  <c r="L11" i="4"/>
  <c r="L12" i="4"/>
  <c r="L13" i="4"/>
  <c r="K11" i="4"/>
  <c r="K12" i="4"/>
  <c r="K13" i="4"/>
  <c r="J11" i="4"/>
  <c r="J12" i="4"/>
  <c r="H12" i="4"/>
  <c r="H13" i="4"/>
  <c r="G12" i="4"/>
  <c r="G13" i="4"/>
  <c r="F12" i="4"/>
  <c r="E12" i="4"/>
  <c r="D12" i="4"/>
  <c r="D3" i="4"/>
  <c r="E3" i="4"/>
  <c r="F3" i="4"/>
  <c r="G3" i="4"/>
  <c r="H3" i="4"/>
  <c r="I3" i="4"/>
  <c r="J3" i="4"/>
  <c r="K3" i="4"/>
  <c r="L3" i="4"/>
  <c r="M3" i="4"/>
  <c r="N3" i="4"/>
  <c r="E4" i="4"/>
  <c r="F4" i="4"/>
  <c r="G4" i="4"/>
  <c r="H4" i="4"/>
  <c r="I4" i="4"/>
  <c r="J4" i="4"/>
  <c r="K4" i="4"/>
  <c r="L4" i="4"/>
  <c r="M4" i="4"/>
  <c r="N4" i="4"/>
  <c r="E5" i="4"/>
  <c r="F5" i="4"/>
  <c r="G5" i="4"/>
  <c r="H5" i="4"/>
  <c r="I5" i="4"/>
  <c r="J5" i="4"/>
  <c r="K5" i="4"/>
  <c r="L5" i="4"/>
  <c r="M5" i="4"/>
  <c r="N5" i="4"/>
  <c r="E6" i="4"/>
  <c r="F6" i="4"/>
  <c r="G6" i="4"/>
  <c r="H6" i="4"/>
  <c r="I6" i="4"/>
  <c r="J6" i="4"/>
  <c r="K6" i="4"/>
  <c r="L6" i="4"/>
  <c r="M6" i="4"/>
  <c r="N6" i="4"/>
  <c r="E7" i="4"/>
  <c r="F7" i="4"/>
  <c r="G7" i="4"/>
  <c r="H7" i="4"/>
  <c r="I7" i="4"/>
  <c r="J7" i="4"/>
  <c r="K7" i="4"/>
  <c r="L7" i="4"/>
  <c r="M7" i="4"/>
  <c r="N7" i="4"/>
  <c r="E8" i="4"/>
  <c r="F8" i="4"/>
  <c r="G8" i="4"/>
  <c r="H8" i="4"/>
  <c r="I8" i="4"/>
  <c r="J8" i="4"/>
  <c r="K8" i="4"/>
  <c r="L8" i="4"/>
  <c r="M8" i="4"/>
  <c r="N8" i="4"/>
  <c r="E9" i="4"/>
  <c r="F9" i="4"/>
  <c r="G9" i="4"/>
  <c r="H9" i="4"/>
  <c r="I9" i="4"/>
  <c r="J9" i="4"/>
  <c r="K9" i="4"/>
  <c r="L9" i="4"/>
  <c r="M9" i="4"/>
  <c r="N9" i="4"/>
  <c r="E10" i="4"/>
  <c r="F10" i="4"/>
  <c r="G10" i="4"/>
  <c r="H10" i="4"/>
  <c r="I10" i="4"/>
  <c r="J10" i="4"/>
  <c r="K10" i="4"/>
  <c r="L10" i="4"/>
  <c r="M10" i="4"/>
  <c r="N10" i="4"/>
  <c r="E11" i="4"/>
  <c r="F11" i="4"/>
  <c r="G11" i="4"/>
  <c r="H11" i="4"/>
  <c r="I11" i="4"/>
  <c r="E13" i="4"/>
  <c r="F13" i="4"/>
  <c r="I13" i="4"/>
  <c r="J13" i="4"/>
  <c r="M13" i="4"/>
  <c r="N13" i="4"/>
  <c r="E14" i="4"/>
  <c r="F14" i="4"/>
  <c r="G14" i="4"/>
  <c r="H14" i="4"/>
  <c r="I14" i="4"/>
  <c r="J14" i="4"/>
  <c r="K14" i="4"/>
  <c r="L14" i="4"/>
  <c r="M14" i="4"/>
  <c r="N14" i="4"/>
  <c r="E15" i="4"/>
  <c r="F15" i="4"/>
  <c r="G15" i="4"/>
  <c r="H15" i="4"/>
  <c r="I15" i="4"/>
  <c r="J15" i="4"/>
  <c r="K15" i="4"/>
  <c r="L15" i="4"/>
  <c r="M15" i="4"/>
  <c r="N15" i="4"/>
  <c r="E16" i="4"/>
  <c r="F16" i="4"/>
  <c r="G16" i="4"/>
  <c r="H16" i="4"/>
  <c r="I16" i="4"/>
  <c r="J16" i="4"/>
  <c r="K16" i="4"/>
  <c r="L16" i="4"/>
  <c r="M16" i="4"/>
  <c r="N16" i="4"/>
  <c r="E17" i="4"/>
  <c r="F17" i="4"/>
  <c r="G17" i="4"/>
  <c r="H17" i="4"/>
  <c r="I17" i="4"/>
  <c r="J17" i="4"/>
  <c r="K17" i="4"/>
  <c r="L17" i="4"/>
  <c r="M17" i="4"/>
  <c r="N17" i="4"/>
  <c r="E18" i="4"/>
  <c r="F18" i="4"/>
  <c r="G18" i="4"/>
  <c r="H18" i="4"/>
  <c r="I18" i="4"/>
  <c r="J18" i="4"/>
  <c r="K18" i="4"/>
  <c r="L18" i="4"/>
  <c r="M18" i="4"/>
  <c r="N18" i="4"/>
  <c r="E19" i="4"/>
  <c r="F19" i="4"/>
  <c r="G19" i="4"/>
  <c r="H19" i="4"/>
  <c r="I19" i="4"/>
  <c r="J19" i="4"/>
  <c r="K19" i="4"/>
  <c r="L19" i="4"/>
  <c r="M19" i="4"/>
  <c r="N19" i="4"/>
  <c r="E20" i="4"/>
  <c r="F20" i="4"/>
  <c r="G20" i="4"/>
  <c r="H20" i="4"/>
  <c r="I20" i="4"/>
  <c r="J20" i="4"/>
  <c r="K20" i="4"/>
  <c r="L20" i="4"/>
  <c r="M20" i="4"/>
  <c r="N20" i="4"/>
  <c r="E21" i="4"/>
  <c r="F21" i="4"/>
  <c r="G21" i="4"/>
  <c r="H21" i="4"/>
  <c r="I21" i="4"/>
  <c r="J21" i="4"/>
  <c r="K21" i="4"/>
  <c r="L21" i="4"/>
  <c r="M21" i="4"/>
  <c r="N21" i="4"/>
  <c r="E22" i="4"/>
  <c r="F22" i="4"/>
  <c r="G22" i="4"/>
  <c r="H22" i="4"/>
  <c r="I22" i="4"/>
  <c r="J22" i="4"/>
  <c r="K22" i="4"/>
  <c r="L22" i="4"/>
  <c r="M22" i="4"/>
  <c r="N22" i="4"/>
  <c r="E23" i="4"/>
  <c r="F23" i="4"/>
  <c r="G23" i="4"/>
  <c r="H23" i="4"/>
  <c r="I23" i="4"/>
  <c r="J23" i="4"/>
  <c r="K23" i="4"/>
  <c r="L23" i="4"/>
  <c r="M23" i="4"/>
  <c r="N23" i="4"/>
  <c r="E24" i="4"/>
  <c r="F24" i="4"/>
  <c r="G24" i="4"/>
  <c r="H24" i="4"/>
  <c r="I24" i="4"/>
  <c r="J24" i="4"/>
  <c r="K24" i="4"/>
  <c r="L24" i="4"/>
  <c r="M24" i="4"/>
  <c r="N24" i="4"/>
  <c r="E25" i="4"/>
  <c r="F25" i="4"/>
  <c r="G25" i="4"/>
  <c r="H25" i="4"/>
  <c r="I25" i="4"/>
  <c r="J25" i="4"/>
  <c r="K25" i="4"/>
  <c r="L25" i="4"/>
  <c r="M25" i="4"/>
  <c r="N25" i="4"/>
  <c r="E26" i="4"/>
  <c r="F26" i="4"/>
  <c r="G26" i="4"/>
  <c r="H26" i="4"/>
  <c r="I26" i="4"/>
  <c r="J26" i="4"/>
  <c r="K26" i="4"/>
  <c r="L26" i="4"/>
  <c r="M26" i="4"/>
  <c r="N26" i="4"/>
  <c r="E27" i="4"/>
  <c r="F27" i="4"/>
  <c r="G27" i="4"/>
  <c r="H27" i="4"/>
  <c r="I27" i="4"/>
  <c r="J27" i="4"/>
  <c r="K27" i="4"/>
  <c r="L27" i="4"/>
  <c r="M27" i="4"/>
  <c r="N27" i="4"/>
  <c r="E28" i="4"/>
  <c r="F28" i="4"/>
  <c r="G28" i="4"/>
  <c r="H28" i="4"/>
  <c r="I28" i="4"/>
  <c r="J28" i="4"/>
  <c r="K28" i="4"/>
  <c r="L28" i="4"/>
  <c r="M28" i="4"/>
  <c r="N28" i="4"/>
  <c r="E29" i="4"/>
  <c r="F29" i="4"/>
  <c r="G29" i="4"/>
  <c r="H29" i="4"/>
  <c r="I29" i="4"/>
  <c r="J29" i="4"/>
  <c r="K29" i="4"/>
  <c r="L29" i="4"/>
  <c r="M29" i="4"/>
  <c r="N29" i="4"/>
  <c r="E30" i="4"/>
  <c r="F30" i="4"/>
  <c r="G30" i="4"/>
  <c r="H30" i="4"/>
  <c r="I30" i="4"/>
  <c r="J30" i="4"/>
  <c r="K30" i="4"/>
  <c r="L30" i="4"/>
  <c r="M30" i="4"/>
  <c r="N30" i="4"/>
  <c r="E31" i="4"/>
  <c r="F31" i="4"/>
  <c r="G31" i="4"/>
  <c r="H31" i="4"/>
  <c r="I31" i="4"/>
  <c r="J31" i="4"/>
  <c r="K31" i="4"/>
  <c r="L31" i="4"/>
  <c r="M31" i="4"/>
  <c r="N31" i="4"/>
  <c r="E32" i="4"/>
  <c r="F32" i="4"/>
  <c r="G32" i="4"/>
  <c r="H32" i="4"/>
  <c r="I32" i="4"/>
  <c r="J32" i="4"/>
  <c r="K32" i="4"/>
  <c r="L32" i="4"/>
  <c r="M32" i="4"/>
  <c r="N32" i="4"/>
  <c r="E33" i="4"/>
  <c r="F33" i="4"/>
  <c r="G33" i="4"/>
  <c r="H33" i="4"/>
  <c r="I33" i="4"/>
  <c r="J33" i="4"/>
  <c r="K33" i="4"/>
  <c r="L33" i="4"/>
  <c r="M33" i="4"/>
  <c r="N33" i="4"/>
  <c r="E34" i="4"/>
  <c r="F34" i="4"/>
  <c r="G34" i="4"/>
  <c r="H34" i="4"/>
  <c r="I34" i="4"/>
  <c r="J34" i="4"/>
  <c r="K34" i="4"/>
  <c r="L34" i="4"/>
  <c r="M34" i="4"/>
  <c r="N34" i="4"/>
  <c r="E35" i="4"/>
  <c r="F35" i="4"/>
  <c r="G35" i="4"/>
  <c r="H35" i="4"/>
  <c r="I35" i="4"/>
  <c r="J35" i="4"/>
  <c r="K35" i="4"/>
  <c r="L35" i="4"/>
  <c r="M35" i="4"/>
  <c r="N35" i="4"/>
  <c r="E36" i="4"/>
  <c r="F36" i="4"/>
  <c r="G36" i="4"/>
  <c r="H36" i="4"/>
  <c r="I36" i="4"/>
  <c r="J36" i="4"/>
  <c r="K36" i="4"/>
  <c r="L36" i="4"/>
  <c r="M36" i="4"/>
  <c r="N36" i="4"/>
  <c r="E37" i="4"/>
  <c r="F37" i="4"/>
  <c r="G37" i="4"/>
  <c r="H37" i="4"/>
  <c r="I37" i="4"/>
  <c r="J37" i="4"/>
  <c r="K37" i="4"/>
  <c r="L37" i="4"/>
  <c r="M37" i="4"/>
  <c r="N37" i="4"/>
  <c r="E38" i="4"/>
  <c r="F38" i="4"/>
  <c r="G38" i="4"/>
  <c r="H38" i="4"/>
  <c r="I38" i="4"/>
  <c r="J38" i="4"/>
  <c r="K38" i="4"/>
  <c r="L38" i="4"/>
  <c r="M38" i="4"/>
  <c r="N38" i="4"/>
  <c r="E39" i="4"/>
  <c r="F39" i="4"/>
  <c r="G39" i="4"/>
  <c r="H39" i="4"/>
  <c r="I39" i="4"/>
  <c r="J39" i="4"/>
  <c r="K39" i="4"/>
  <c r="L39" i="4"/>
  <c r="M39" i="4"/>
  <c r="N39" i="4"/>
  <c r="E40" i="4"/>
  <c r="F40" i="4"/>
  <c r="G40" i="4"/>
  <c r="H40" i="4"/>
  <c r="I40" i="4"/>
  <c r="J40" i="4"/>
  <c r="K40" i="4"/>
  <c r="L40" i="4"/>
  <c r="M40" i="4"/>
  <c r="N40" i="4"/>
  <c r="E41" i="4"/>
  <c r="F41" i="4"/>
  <c r="G41" i="4"/>
  <c r="H41" i="4"/>
  <c r="I41" i="4"/>
  <c r="J41" i="4"/>
  <c r="K41" i="4"/>
  <c r="L41" i="4"/>
  <c r="M41" i="4"/>
  <c r="N41" i="4"/>
  <c r="E42" i="4"/>
  <c r="F42" i="4"/>
  <c r="G42" i="4"/>
  <c r="H42" i="4"/>
  <c r="I42" i="4"/>
  <c r="J42" i="4"/>
  <c r="K42" i="4"/>
  <c r="L42" i="4"/>
  <c r="M42" i="4"/>
  <c r="N42" i="4"/>
  <c r="E43" i="4"/>
  <c r="F43" i="4"/>
  <c r="G43" i="4"/>
  <c r="H43" i="4"/>
  <c r="I43" i="4"/>
  <c r="J43" i="4"/>
  <c r="K43" i="4"/>
  <c r="L43" i="4"/>
  <c r="M43" i="4"/>
  <c r="N43" i="4"/>
  <c r="E44" i="4"/>
  <c r="F44" i="4"/>
  <c r="G44" i="4"/>
  <c r="H44" i="4"/>
  <c r="I44" i="4"/>
  <c r="J44" i="4"/>
  <c r="K44" i="4"/>
  <c r="L44" i="4"/>
  <c r="M44" i="4"/>
  <c r="N44" i="4"/>
  <c r="E45" i="4"/>
  <c r="F45" i="4"/>
  <c r="G45" i="4"/>
  <c r="H45" i="4"/>
  <c r="I45" i="4"/>
  <c r="J45" i="4"/>
  <c r="K45" i="4"/>
  <c r="L45" i="4"/>
  <c r="M45" i="4"/>
  <c r="N45" i="4"/>
  <c r="E46" i="4"/>
  <c r="F46" i="4"/>
  <c r="G46" i="4"/>
  <c r="H46" i="4"/>
  <c r="I46" i="4"/>
  <c r="J46" i="4"/>
  <c r="K46" i="4"/>
  <c r="L46" i="4"/>
  <c r="M46" i="4"/>
  <c r="N46" i="4"/>
  <c r="E47" i="4"/>
  <c r="F47" i="4"/>
  <c r="G47" i="4"/>
  <c r="H47" i="4"/>
  <c r="I47" i="4"/>
  <c r="J47" i="4"/>
  <c r="K47" i="4"/>
  <c r="L47" i="4"/>
  <c r="M47" i="4"/>
  <c r="N47" i="4"/>
  <c r="E48" i="4"/>
  <c r="F48" i="4"/>
  <c r="G48" i="4"/>
  <c r="H48" i="4"/>
  <c r="I48" i="4"/>
  <c r="J48" i="4"/>
  <c r="K48" i="4"/>
  <c r="L48" i="4"/>
  <c r="M48" i="4"/>
  <c r="N48" i="4"/>
  <c r="E49" i="4"/>
  <c r="F49" i="4"/>
  <c r="G49" i="4"/>
  <c r="H49" i="4"/>
  <c r="I49" i="4"/>
  <c r="J49" i="4"/>
  <c r="K49" i="4"/>
  <c r="L49" i="4"/>
  <c r="M49" i="4"/>
  <c r="N49" i="4"/>
  <c r="E50" i="4"/>
  <c r="F50" i="4"/>
  <c r="G50" i="4"/>
  <c r="H50" i="4"/>
  <c r="I50" i="4"/>
  <c r="J50" i="4"/>
  <c r="K50" i="4"/>
  <c r="L50" i="4"/>
  <c r="M50" i="4"/>
  <c r="N50" i="4"/>
  <c r="E51" i="4"/>
  <c r="F51" i="4"/>
  <c r="G51" i="4"/>
  <c r="H51" i="4"/>
  <c r="I51" i="4"/>
  <c r="J51" i="4"/>
  <c r="K51" i="4"/>
  <c r="L51" i="4"/>
  <c r="M51" i="4"/>
  <c r="N51" i="4"/>
  <c r="E52" i="4"/>
  <c r="F52" i="4"/>
  <c r="G52" i="4"/>
  <c r="H52" i="4"/>
  <c r="I52" i="4"/>
  <c r="J52" i="4"/>
  <c r="K52" i="4"/>
  <c r="L52" i="4"/>
  <c r="M52" i="4"/>
  <c r="N52" i="4"/>
  <c r="E53" i="4"/>
  <c r="F53" i="4"/>
  <c r="G53" i="4"/>
  <c r="H53" i="4"/>
  <c r="I53" i="4"/>
  <c r="J53" i="4"/>
  <c r="K53" i="4"/>
  <c r="L53" i="4"/>
  <c r="M53" i="4"/>
  <c r="N53" i="4"/>
  <c r="E54" i="4"/>
  <c r="F54" i="4"/>
  <c r="G54" i="4"/>
  <c r="H54" i="4"/>
  <c r="I54" i="4"/>
  <c r="J54" i="4"/>
  <c r="K54" i="4"/>
  <c r="L54" i="4"/>
  <c r="M54" i="4"/>
  <c r="N54" i="4"/>
  <c r="E55" i="4"/>
  <c r="F55" i="4"/>
  <c r="G55" i="4"/>
  <c r="H55" i="4"/>
  <c r="I55" i="4"/>
  <c r="J55" i="4"/>
  <c r="K55" i="4"/>
  <c r="L55" i="4"/>
  <c r="M55" i="4"/>
  <c r="N55" i="4"/>
  <c r="E56" i="4"/>
  <c r="F56" i="4"/>
  <c r="G56" i="4"/>
  <c r="H56" i="4"/>
  <c r="I56" i="4"/>
  <c r="J56" i="4"/>
  <c r="K56" i="4"/>
  <c r="L56" i="4"/>
  <c r="M56" i="4"/>
  <c r="N56" i="4"/>
  <c r="E57" i="4"/>
  <c r="F57" i="4"/>
  <c r="G57" i="4"/>
  <c r="H57" i="4"/>
  <c r="I57" i="4"/>
  <c r="J57" i="4"/>
  <c r="K57" i="4"/>
  <c r="L57" i="4"/>
  <c r="M57" i="4"/>
  <c r="N57" i="4"/>
  <c r="E58" i="4"/>
  <c r="F58" i="4"/>
  <c r="G58" i="4"/>
  <c r="H58" i="4"/>
  <c r="I58" i="4"/>
  <c r="J58" i="4"/>
  <c r="K58" i="4"/>
  <c r="L58" i="4"/>
  <c r="M58" i="4"/>
  <c r="N58" i="4"/>
  <c r="E59" i="4"/>
  <c r="F59" i="4"/>
  <c r="G59" i="4"/>
  <c r="H59" i="4"/>
  <c r="I59" i="4"/>
  <c r="J59" i="4"/>
  <c r="K59" i="4"/>
  <c r="L59" i="4"/>
  <c r="M59" i="4"/>
  <c r="N59" i="4"/>
  <c r="E60" i="4"/>
  <c r="F60" i="4"/>
  <c r="G60" i="4"/>
  <c r="H60" i="4"/>
  <c r="I60" i="4"/>
  <c r="J60" i="4"/>
  <c r="K60" i="4"/>
  <c r="L60" i="4"/>
  <c r="M60" i="4"/>
  <c r="N60" i="4"/>
  <c r="E61" i="4"/>
  <c r="F61" i="4"/>
  <c r="G61" i="4"/>
  <c r="H61" i="4"/>
  <c r="I61" i="4"/>
  <c r="J61" i="4"/>
  <c r="K61" i="4"/>
  <c r="L61" i="4"/>
  <c r="M61" i="4"/>
  <c r="N61" i="4"/>
  <c r="E62" i="4"/>
  <c r="F62" i="4"/>
  <c r="G62" i="4"/>
  <c r="H62" i="4"/>
  <c r="I62" i="4"/>
  <c r="J62" i="4"/>
  <c r="K62" i="4"/>
  <c r="L62" i="4"/>
  <c r="M62" i="4"/>
  <c r="N62" i="4"/>
  <c r="E63" i="4"/>
  <c r="F63" i="4"/>
  <c r="G63" i="4"/>
  <c r="H63" i="4"/>
  <c r="I63" i="4"/>
  <c r="J63" i="4"/>
  <c r="K63" i="4"/>
  <c r="L63" i="4"/>
  <c r="M63" i="4"/>
  <c r="N63" i="4"/>
  <c r="E64" i="4"/>
  <c r="F64" i="4"/>
  <c r="G64" i="4"/>
  <c r="H64" i="4"/>
  <c r="I64" i="4"/>
  <c r="J64" i="4"/>
  <c r="K64" i="4"/>
  <c r="L64" i="4"/>
  <c r="M64" i="4"/>
  <c r="N64" i="4"/>
  <c r="E65" i="4"/>
  <c r="F65" i="4"/>
  <c r="G65" i="4"/>
  <c r="H65" i="4"/>
  <c r="I65" i="4"/>
  <c r="J65" i="4"/>
  <c r="K65" i="4"/>
  <c r="L65" i="4"/>
  <c r="M65" i="4"/>
  <c r="N65" i="4"/>
  <c r="E66" i="4"/>
  <c r="F66" i="4"/>
  <c r="G66" i="4"/>
  <c r="H66" i="4"/>
  <c r="I66" i="4"/>
  <c r="J66" i="4"/>
  <c r="K66" i="4"/>
  <c r="L66" i="4"/>
  <c r="M66" i="4"/>
  <c r="N66" i="4"/>
  <c r="E67" i="4"/>
  <c r="F67" i="4"/>
  <c r="G67" i="4"/>
  <c r="H67" i="4"/>
  <c r="I67" i="4"/>
  <c r="J67" i="4"/>
  <c r="K67" i="4"/>
  <c r="L67" i="4"/>
  <c r="M67" i="4"/>
  <c r="N67" i="4"/>
  <c r="E68" i="4"/>
  <c r="F68" i="4"/>
  <c r="G68" i="4"/>
  <c r="H68" i="4"/>
  <c r="I68" i="4"/>
  <c r="J68" i="4"/>
  <c r="K68" i="4"/>
  <c r="L68" i="4"/>
  <c r="M68" i="4"/>
  <c r="N68" i="4"/>
  <c r="E69" i="4"/>
  <c r="F69" i="4"/>
  <c r="G69" i="4"/>
  <c r="H69" i="4"/>
  <c r="I69" i="4"/>
  <c r="J69" i="4"/>
  <c r="K69" i="4"/>
  <c r="L69" i="4"/>
  <c r="M69" i="4"/>
  <c r="N69" i="4"/>
  <c r="E70" i="4"/>
  <c r="F70" i="4"/>
  <c r="G70" i="4"/>
  <c r="H70" i="4"/>
  <c r="I70" i="4"/>
  <c r="J70" i="4"/>
  <c r="K70" i="4"/>
  <c r="L70" i="4"/>
  <c r="M70" i="4"/>
  <c r="N70" i="4"/>
  <c r="E71" i="4"/>
  <c r="F71" i="4"/>
  <c r="G71" i="4"/>
  <c r="H71" i="4"/>
  <c r="I71" i="4"/>
  <c r="J71" i="4"/>
  <c r="K71" i="4"/>
  <c r="L71" i="4"/>
  <c r="M71" i="4"/>
  <c r="N71" i="4"/>
  <c r="D4" i="4"/>
  <c r="D5" i="4"/>
  <c r="D6" i="4"/>
  <c r="D7" i="4"/>
  <c r="D8" i="4"/>
  <c r="D9" i="4"/>
  <c r="D10" i="4"/>
  <c r="D11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U2" i="2"/>
  <c r="U3" i="2"/>
  <c r="U4" i="2"/>
  <c r="U5" i="2"/>
  <c r="U6" i="2"/>
  <c r="U7" i="2"/>
  <c r="U8" i="2"/>
  <c r="U9" i="2"/>
  <c r="U10" i="2"/>
  <c r="U11" i="2"/>
  <c r="U12" i="2"/>
  <c r="I12" i="4" s="1"/>
  <c r="C7" i="5" s="1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H15" i="5" l="1"/>
  <c r="G15" i="5"/>
  <c r="F15" i="5"/>
  <c r="E15" i="5"/>
  <c r="D15" i="5"/>
  <c r="C15" i="5"/>
  <c r="H14" i="5"/>
  <c r="G14" i="5"/>
  <c r="F14" i="5"/>
  <c r="E14" i="5"/>
  <c r="D14" i="5"/>
  <c r="C14" i="5"/>
  <c r="H2" i="5"/>
  <c r="G2" i="5"/>
  <c r="F2" i="5"/>
  <c r="E2" i="5"/>
  <c r="D2" i="5"/>
  <c r="H12" i="5"/>
  <c r="H11" i="5"/>
  <c r="H10" i="5"/>
  <c r="H9" i="5"/>
  <c r="H8" i="5"/>
  <c r="H7" i="5"/>
  <c r="H6" i="5"/>
  <c r="H5" i="5"/>
  <c r="H4" i="5"/>
  <c r="H3" i="5"/>
  <c r="G12" i="5"/>
  <c r="G10" i="5"/>
  <c r="G9" i="5"/>
  <c r="G8" i="5"/>
  <c r="G7" i="5"/>
  <c r="G6" i="5"/>
  <c r="G5" i="5"/>
  <c r="G4" i="5"/>
  <c r="G3" i="5"/>
  <c r="F12" i="5"/>
  <c r="F11" i="5"/>
  <c r="F10" i="5"/>
  <c r="F9" i="5"/>
  <c r="F8" i="5"/>
  <c r="F7" i="5"/>
  <c r="F6" i="5"/>
  <c r="F5" i="5"/>
  <c r="F4" i="5"/>
  <c r="F3" i="5"/>
  <c r="E12" i="5"/>
  <c r="E11" i="5"/>
  <c r="E10" i="5"/>
  <c r="E9" i="5"/>
  <c r="E8" i="5"/>
  <c r="E7" i="5"/>
  <c r="E6" i="5"/>
  <c r="E5" i="5"/>
  <c r="E4" i="5"/>
  <c r="E3" i="5"/>
  <c r="D12" i="5"/>
  <c r="D11" i="5"/>
  <c r="D10" i="5"/>
  <c r="D9" i="5"/>
  <c r="D8" i="5"/>
  <c r="D7" i="5"/>
  <c r="D6" i="5"/>
  <c r="D5" i="5"/>
  <c r="D4" i="5"/>
  <c r="D3" i="5"/>
  <c r="C2" i="5"/>
  <c r="C3" i="5"/>
  <c r="C4" i="5"/>
  <c r="C5" i="5"/>
  <c r="C6" i="5"/>
  <c r="C8" i="5"/>
  <c r="C9" i="5"/>
  <c r="C10" i="5"/>
  <c r="C11" i="5"/>
  <c r="C12" i="5"/>
  <c r="H13" i="5"/>
  <c r="G13" i="5"/>
  <c r="F13" i="5"/>
  <c r="E13" i="5"/>
  <c r="D13" i="5"/>
  <c r="C13" i="5"/>
  <c r="B13" i="5"/>
  <c r="B12" i="5"/>
  <c r="B11" i="5"/>
  <c r="B9" i="5"/>
  <c r="B7" i="5"/>
  <c r="B5" i="5"/>
  <c r="B4" i="5"/>
  <c r="B3" i="5"/>
  <c r="P2" i="4"/>
  <c r="H2" i="4"/>
  <c r="B6" i="5" s="1"/>
  <c r="J2" i="4"/>
  <c r="B8" i="5" s="1"/>
  <c r="L2" i="4"/>
  <c r="B10" i="5" s="1"/>
  <c r="D2" i="4"/>
  <c r="R2" i="4" s="1"/>
  <c r="D16" i="5"/>
  <c r="H16" i="5"/>
  <c r="E16" i="5"/>
  <c r="F16" i="5"/>
  <c r="C16" i="5"/>
  <c r="R13" i="4"/>
  <c r="R62" i="4"/>
  <c r="R60" i="4"/>
  <c r="R22" i="4"/>
  <c r="R56" i="4"/>
  <c r="R42" i="4"/>
  <c r="R18" i="4"/>
  <c r="R58" i="4"/>
  <c r="R36" i="4"/>
  <c r="R69" i="4"/>
  <c r="R65" i="4"/>
  <c r="R53" i="4"/>
  <c r="R49" i="4"/>
  <c r="R45" i="4"/>
  <c r="R33" i="4"/>
  <c r="R29" i="4"/>
  <c r="R25" i="4"/>
  <c r="R40" i="4"/>
  <c r="R20" i="4"/>
  <c r="R38" i="4"/>
  <c r="R16" i="4"/>
  <c r="R54" i="4"/>
  <c r="R34" i="4"/>
  <c r="R14" i="4"/>
  <c r="R52" i="4"/>
  <c r="R32" i="4"/>
  <c r="R35" i="4"/>
  <c r="R15" i="4"/>
  <c r="R55" i="4"/>
  <c r="R9" i="4"/>
  <c r="R51" i="4"/>
  <c r="R70" i="4"/>
  <c r="R28" i="4"/>
  <c r="R67" i="4"/>
  <c r="R47" i="4"/>
  <c r="R27" i="4"/>
  <c r="R5" i="4"/>
  <c r="R71" i="4"/>
  <c r="R61" i="4"/>
  <c r="R41" i="4"/>
  <c r="R21" i="4"/>
  <c r="R3" i="4"/>
  <c r="R31" i="4"/>
  <c r="R68" i="4"/>
  <c r="R43" i="4"/>
  <c r="R12" i="4"/>
  <c r="R48" i="4"/>
  <c r="R46" i="4"/>
  <c r="R26" i="4"/>
  <c r="R44" i="4"/>
  <c r="R6" i="4"/>
  <c r="R63" i="4"/>
  <c r="R59" i="4"/>
  <c r="R39" i="4"/>
  <c r="R19" i="4"/>
  <c r="R11" i="4"/>
  <c r="R10" i="4"/>
  <c r="R30" i="4"/>
  <c r="R7" i="4"/>
  <c r="R64" i="4"/>
  <c r="R24" i="4"/>
  <c r="R8" i="4"/>
  <c r="R4" i="4"/>
  <c r="R23" i="4"/>
  <c r="R50" i="4"/>
  <c r="R66" i="4"/>
  <c r="R57" i="4"/>
  <c r="R37" i="4"/>
  <c r="R17" i="4"/>
  <c r="D72" i="4"/>
  <c r="N72" i="4"/>
  <c r="M72" i="4"/>
  <c r="G11" i="5" s="1"/>
  <c r="G16" i="5" s="1"/>
  <c r="L72" i="4"/>
  <c r="K72" i="4"/>
  <c r="J72" i="4"/>
  <c r="H72" i="4"/>
  <c r="G72" i="4"/>
  <c r="F72" i="4"/>
  <c r="E72" i="4"/>
  <c r="I72" i="4"/>
  <c r="B14" i="5" l="1"/>
  <c r="B2" i="5"/>
  <c r="B16" i="5" s="1"/>
</calcChain>
</file>

<file path=xl/sharedStrings.xml><?xml version="1.0" encoding="utf-8"?>
<sst xmlns="http://schemas.openxmlformats.org/spreadsheetml/2006/main" count="855" uniqueCount="212">
  <si>
    <t>Match No</t>
  </si>
  <si>
    <t>Date</t>
  </si>
  <si>
    <t>Day</t>
  </si>
  <si>
    <t>Time</t>
  </si>
  <si>
    <t>Home</t>
  </si>
  <si>
    <t>Column1</t>
  </si>
  <si>
    <t>Away</t>
  </si>
  <si>
    <t>Venue</t>
  </si>
  <si>
    <t>28-MAR-26</t>
  </si>
  <si>
    <t>Sat</t>
  </si>
  <si>
    <t>7:30 PM</t>
  </si>
  <si>
    <t>SRH</t>
  </si>
  <si>
    <t xml:space="preserve"> vs </t>
  </si>
  <si>
    <t>RCB</t>
  </si>
  <si>
    <t>Bengaluru</t>
  </si>
  <si>
    <t>29-MAR-26</t>
  </si>
  <si>
    <t>Sun</t>
  </si>
  <si>
    <t>KKR</t>
  </si>
  <si>
    <t>MI</t>
  </si>
  <si>
    <t>Mumbai</t>
  </si>
  <si>
    <t>30-MAR-26</t>
  </si>
  <si>
    <t>Mon</t>
  </si>
  <si>
    <t>CSK</t>
  </si>
  <si>
    <t>RR</t>
  </si>
  <si>
    <t>Guwahati</t>
  </si>
  <si>
    <t>31-MAR-26</t>
  </si>
  <si>
    <t>Tue</t>
  </si>
  <si>
    <t>GT</t>
  </si>
  <si>
    <t>PBKS</t>
  </si>
  <si>
    <t>New Chandigarh</t>
  </si>
  <si>
    <t>01-APR-26</t>
  </si>
  <si>
    <t>Wed</t>
  </si>
  <si>
    <t>DC</t>
  </si>
  <si>
    <t>LSG</t>
  </si>
  <si>
    <t>Lucknow</t>
  </si>
  <si>
    <t>02-APR-26</t>
  </si>
  <si>
    <t>Thu</t>
  </si>
  <si>
    <t>Kolkata</t>
  </si>
  <si>
    <t>03-APR-26</t>
  </si>
  <si>
    <t>Fri</t>
  </si>
  <si>
    <t>Chennai</t>
  </si>
  <si>
    <t>04-APR-26</t>
  </si>
  <si>
    <t>3:30 PM</t>
  </si>
  <si>
    <t>Delhi</t>
  </si>
  <si>
    <t>Ahmedabad</t>
  </si>
  <si>
    <t>05-APR-26</t>
  </si>
  <si>
    <t>Hyderabad</t>
  </si>
  <si>
    <t>06-APR-26</t>
  </si>
  <si>
    <t>07-APR-26</t>
  </si>
  <si>
    <t>08-APR-26</t>
  </si>
  <si>
    <t>09-APR-26</t>
  </si>
  <si>
    <t>10-APR-26</t>
  </si>
  <si>
    <t>11-APR-26</t>
  </si>
  <si>
    <t>12-APR-26</t>
  </si>
  <si>
    <t>13-APR-26</t>
  </si>
  <si>
    <t>14-APR-26</t>
  </si>
  <si>
    <t>15-APR-26</t>
  </si>
  <si>
    <t>16-APR-26</t>
  </si>
  <si>
    <t>17-APR-26</t>
  </si>
  <si>
    <t>18-APR-26</t>
  </si>
  <si>
    <t>19-APR-26</t>
  </si>
  <si>
    <t>20-APR-26</t>
  </si>
  <si>
    <t>21-APR-26</t>
  </si>
  <si>
    <t>22-APR-26</t>
  </si>
  <si>
    <t>23-APR-26</t>
  </si>
  <si>
    <t>24-APR-26</t>
  </si>
  <si>
    <t>25-APR-26</t>
  </si>
  <si>
    <t>Jaipur</t>
  </si>
  <si>
    <t>26-APR-26</t>
  </si>
  <si>
    <t>27-APR-26</t>
  </si>
  <si>
    <t>28-APR-26</t>
  </si>
  <si>
    <t>29-APR-26</t>
  </si>
  <si>
    <t>30-APR-26</t>
  </si>
  <si>
    <t>01-MAY-26</t>
  </si>
  <si>
    <t>02-MAY-26</t>
  </si>
  <si>
    <t>03-MAY-26</t>
  </si>
  <si>
    <t>04-MAY-26</t>
  </si>
  <si>
    <t>05-MAY-26</t>
  </si>
  <si>
    <t>06-MAY-26</t>
  </si>
  <si>
    <t>07-MAY-26</t>
  </si>
  <si>
    <t>08-MAY-26</t>
  </si>
  <si>
    <t>09-MAY-26</t>
  </si>
  <si>
    <t>10-MAY-26</t>
  </si>
  <si>
    <t>Raipur</t>
  </si>
  <si>
    <t>11-MAY-26</t>
  </si>
  <si>
    <t>Dharamshala</t>
  </si>
  <si>
    <t>12-MAY-26</t>
  </si>
  <si>
    <t>13-MAY-26</t>
  </si>
  <si>
    <t>14-MAY-26</t>
  </si>
  <si>
    <t>15-MAY-26</t>
  </si>
  <si>
    <t>16-MAY-26</t>
  </si>
  <si>
    <t>17-MAY-26</t>
  </si>
  <si>
    <t>18-MAY-26</t>
  </si>
  <si>
    <t>19-MAY-26</t>
  </si>
  <si>
    <t>20-MAY-26</t>
  </si>
  <si>
    <t>21-MAY-26</t>
  </si>
  <si>
    <t>22-MAY-26</t>
  </si>
  <si>
    <t>23-MAY-26</t>
  </si>
  <si>
    <t>24-MAY-26</t>
  </si>
  <si>
    <t>Match no</t>
  </si>
  <si>
    <t>Match Info</t>
  </si>
  <si>
    <t>AnuragKYodha</t>
  </si>
  <si>
    <t>Breastteam</t>
  </si>
  <si>
    <t>STARKBLR</t>
  </si>
  <si>
    <t>VinoCSKian</t>
  </si>
  <si>
    <t>RaviRCBian</t>
  </si>
  <si>
    <t>ThandaMilk</t>
  </si>
  <si>
    <t>BenChokes11</t>
  </si>
  <si>
    <t>Rodney Ke Kiraak Pathey</t>
  </si>
  <si>
    <t>Rohitag87</t>
  </si>
  <si>
    <t>Joy</t>
  </si>
  <si>
    <t>CdrGolmol</t>
  </si>
  <si>
    <t>dIbZy</t>
  </si>
  <si>
    <t>Rahul_soul</t>
  </si>
  <si>
    <t>unityzmbgod0</t>
  </si>
  <si>
    <t>Total</t>
  </si>
  <si>
    <t>RCB vs SRH</t>
  </si>
  <si>
    <t>MI vs KKR</t>
  </si>
  <si>
    <t>RR vs CSK</t>
  </si>
  <si>
    <t>PBKS vs GT</t>
  </si>
  <si>
    <t>LSG vs DC</t>
  </si>
  <si>
    <t>KKR vs SRH</t>
  </si>
  <si>
    <t>CSK vs PBKS</t>
  </si>
  <si>
    <t>DC vs MI</t>
  </si>
  <si>
    <t>GT vs RR</t>
  </si>
  <si>
    <t>SRH vs LSG</t>
  </si>
  <si>
    <t>RCB vs CSK</t>
  </si>
  <si>
    <t>KKR vs PBKS</t>
  </si>
  <si>
    <t>MI Vs RR</t>
  </si>
  <si>
    <t>GT Vs DC</t>
  </si>
  <si>
    <t>LSG Vs KKR</t>
  </si>
  <si>
    <t>RCB Vs RR</t>
  </si>
  <si>
    <t>SRH Vs PBKS</t>
  </si>
  <si>
    <t>DC Vs CSK</t>
  </si>
  <si>
    <t>GT Vs LSG</t>
  </si>
  <si>
    <t>RCB Vs MI</t>
  </si>
  <si>
    <t>RR Vs SRH</t>
  </si>
  <si>
    <t>KKR Vs CSK</t>
  </si>
  <si>
    <t>LSG Vs RCB</t>
  </si>
  <si>
    <t>PBKS Vs MI</t>
  </si>
  <si>
    <t>KKR Vs GT</t>
  </si>
  <si>
    <t>DC Vs RCB</t>
  </si>
  <si>
    <t>CSK Vs SRH</t>
  </si>
  <si>
    <t>RR Vs KKR</t>
  </si>
  <si>
    <t>LSG Vs PBKS</t>
  </si>
  <si>
    <t>MI Vs GT</t>
  </si>
  <si>
    <t>DC Vs SRH</t>
  </si>
  <si>
    <t>RR Vs LSG</t>
  </si>
  <si>
    <t>CSK Vs MI</t>
  </si>
  <si>
    <t>GT Vs RCB</t>
  </si>
  <si>
    <t>PBKS Vs DC</t>
  </si>
  <si>
    <t>SRH vs RR</t>
  </si>
  <si>
    <t>CSK vs GT</t>
  </si>
  <si>
    <t>KKR vs LSG</t>
  </si>
  <si>
    <t>RCB vs DC</t>
  </si>
  <si>
    <t>RR vs PBKS</t>
  </si>
  <si>
    <t>SRH vs MI</t>
  </si>
  <si>
    <t>RCB vs GT</t>
  </si>
  <si>
    <t>DC vs RR</t>
  </si>
  <si>
    <t>MI vs CSK</t>
  </si>
  <si>
    <t>LSG vs MI</t>
  </si>
  <si>
    <t>CSK vs DC</t>
  </si>
  <si>
    <t>PBKS vs SRH</t>
  </si>
  <si>
    <t>RCB vs LSG</t>
  </si>
  <si>
    <t>KKR vs DC</t>
  </si>
  <si>
    <t>LSG vs CSK</t>
  </si>
  <si>
    <t>MI vs RCB</t>
  </si>
  <si>
    <t>DC vs PBKS</t>
  </si>
  <si>
    <t>SRH vs GT</t>
  </si>
  <si>
    <t>KKR vs RCB</t>
  </si>
  <si>
    <t>MI vs PBKS</t>
  </si>
  <si>
    <t>CSK vs LSG</t>
  </si>
  <si>
    <t>GT vs KKR</t>
  </si>
  <si>
    <t>RCB vs PBKS</t>
  </si>
  <si>
    <t>RR vs DC</t>
  </si>
  <si>
    <t>SRH vs CSK</t>
  </si>
  <si>
    <t>LSG vs RR</t>
  </si>
  <si>
    <t>GT vs CSK</t>
  </si>
  <si>
    <t>PBKS vs LSG</t>
  </si>
  <si>
    <t>RR vs MI</t>
  </si>
  <si>
    <t>DC vs KKR</t>
  </si>
  <si>
    <t>Winner 1</t>
  </si>
  <si>
    <t>Winner 2</t>
  </si>
  <si>
    <t>Winner 3</t>
  </si>
  <si>
    <t>Winner 4</t>
  </si>
  <si>
    <t>Winner 5</t>
  </si>
  <si>
    <t>Teams</t>
  </si>
  <si>
    <t>Anurag</t>
  </si>
  <si>
    <t>add email</t>
  </si>
  <si>
    <t>Saikat</t>
  </si>
  <si>
    <t>saikat003@gmail.com</t>
  </si>
  <si>
    <t>Team</t>
  </si>
  <si>
    <t>Amount for match 1-10</t>
  </si>
  <si>
    <t>Amount for match 11-20</t>
  </si>
  <si>
    <t>Amount for match 21-30</t>
  </si>
  <si>
    <t>Amount for match 31-40</t>
  </si>
  <si>
    <t>Amount for match 41-50</t>
  </si>
  <si>
    <t>Amount for match 51-60</t>
  </si>
  <si>
    <t>Amount for match 61-70</t>
  </si>
  <si>
    <t>Users</t>
  </si>
  <si>
    <t>Name</t>
  </si>
  <si>
    <t>Mobile no.</t>
  </si>
  <si>
    <t>Email Address</t>
  </si>
  <si>
    <t>Vinoth</t>
  </si>
  <si>
    <t>Ravi</t>
  </si>
  <si>
    <t>Rodney</t>
  </si>
  <si>
    <t>Rohit Agarwal</t>
  </si>
  <si>
    <t>Abhishek</t>
  </si>
  <si>
    <t>Dibya</t>
  </si>
  <si>
    <t>Rahul</t>
  </si>
  <si>
    <t>Vishal</t>
  </si>
  <si>
    <t>vishalrmallick@gmail.com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</si>
</sst>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5" borderId="0" xfId="0" applyFill="1"/>
    <xf numFmtId="0" fontId="0" fillId="5" borderId="5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2" fontId="0" fillId="5" borderId="8" xfId="0" applyNumberFormat="1" applyFill="1" applyBorder="1" applyAlignment="1">
      <alignment vertical="center" wrapText="1"/>
    </xf>
    <xf numFmtId="0" fontId="0" fillId="7" borderId="9" xfId="0" applyFill="1" applyBorder="1" applyAlignment="1">
      <alignment vertical="center" wrapText="1"/>
    </xf>
    <xf numFmtId="0" fontId="0" fillId="7" borderId="10" xfId="0" applyFill="1" applyBorder="1" applyAlignment="1">
      <alignment vertical="center" wrapText="1"/>
    </xf>
    <xf numFmtId="0" fontId="0" fillId="7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2" fontId="0" fillId="5" borderId="13" xfId="0" applyNumberFormat="1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2" fontId="0" fillId="0" borderId="15" xfId="0" applyNumberFormat="1" applyBorder="1"/>
    <xf numFmtId="2" fontId="0" fillId="0" borderId="16" xfId="0" applyNumberFormat="1" applyBorder="1"/>
    <xf numFmtId="0" fontId="1" fillId="2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15" fontId="0" fillId="3" borderId="8" xfId="0" applyNumberFormat="1" applyFill="1" applyBorder="1" applyAlignment="1">
      <alignment horizontal="center" vertical="center" wrapText="1"/>
    </xf>
    <xf numFmtId="0" fontId="0" fillId="4" borderId="8" xfId="0" applyFill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0" borderId="8" xfId="0" applyFont="1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3" fillId="0" borderId="0" xfId="1"/>
    <xf numFmtId="0" fontId="0" fillId="0" borderId="8" xfId="0" applyBorder="1"/>
    <xf numFmtId="0" fontId="0" fillId="5" borderId="8" xfId="0" applyFill="1" applyBorder="1"/>
    <xf numFmtId="0" fontId="0" fillId="0" borderId="0" xfId="0" applyBorder="1"/>
    <xf numFmtId="0" fontId="0" fillId="5" borderId="0" xfId="0" applyFill="1" applyBorder="1"/>
    <xf numFmtId="0" fontId="1" fillId="8" borderId="8" xfId="0" applyFont="1" applyFill="1" applyBorder="1"/>
    <xf numFmtId="0" fontId="0" fillId="3" borderId="17" xfId="0" applyFill="1" applyBorder="1" applyAlignment="1">
      <alignment horizontal="center" vertical="center" wrapText="1"/>
    </xf>
    <xf numFmtId="15" fontId="0" fillId="3" borderId="17" xfId="0" applyNumberFormat="1" applyFill="1" applyBorder="1" applyAlignment="1">
      <alignment horizontal="center" vertical="center" wrapText="1"/>
    </xf>
    <xf numFmtId="0" fontId="0" fillId="4" borderId="17" xfId="0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17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6092F-53F0-4FBE-B053-8E260D23BBA7}" name="Table1" displayName="Table1" ref="A1:H71" totalsRowShown="0">
  <autoFilter ref="A1:H71" xr:uid="{5C96092F-53F0-4FBE-B053-8E260D23BBA7}"/>
  <tableColumns count="8">
    <tableColumn id="1" xr3:uid="{808B4487-7016-4808-9E11-BDE9B308025D}" name="Match No"/>
    <tableColumn id="2" xr3:uid="{23F3956C-83BC-491A-845C-83198A36B467}" name="Date"/>
    <tableColumn id="3" xr3:uid="{6C224D08-9096-4E56-B4A9-C78CC992A988}" name="Day"/>
    <tableColumn id="4" xr3:uid="{D64F12AB-366E-4050-8E56-DE530F7AC34D}" name="Time"/>
    <tableColumn id="5" xr3:uid="{98FB421D-DD90-4D10-8F9D-57FCEE1ED408}" name="Home"/>
    <tableColumn id="6" xr3:uid="{690BCB2D-7EF6-4B66-852A-AF3D5D97C79F}" name="Column1"/>
    <tableColumn id="7" xr3:uid="{F0815E3A-6BAA-4A2E-BE0A-D90CB93DA139}" name="Away"/>
    <tableColumn id="8" xr3:uid="{16373DB3-464E-4D1D-840F-C5F69CE1D125}" name="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saikat003@gmail.com" TargetMode="External"/><Relationship Id="rId1" Type="http://schemas.openxmlformats.org/officeDocument/2006/relationships/hyperlink" Target="mailto:vishalrmalli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workbookViewId="0">
      <selection activeCell="J14" sqref="J14"/>
    </sheetView>
  </sheetViews>
  <sheetFormatPr defaultRowHeight="14.45"/>
  <cols>
    <col min="1" max="1" width="11.7109375" bestFit="1" customWidth="1"/>
    <col min="2" max="2" width="15.7109375" customWidth="1"/>
    <col min="6" max="6" width="11" bestFit="1" customWidth="1"/>
    <col min="8" max="8" width="15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18</v>
      </c>
      <c r="H3" t="s">
        <v>19</v>
      </c>
    </row>
    <row r="4" spans="1:8">
      <c r="A4">
        <v>3</v>
      </c>
      <c r="B4" t="s">
        <v>20</v>
      </c>
      <c r="C4" t="s">
        <v>21</v>
      </c>
      <c r="D4" t="s">
        <v>10</v>
      </c>
      <c r="E4" t="s">
        <v>22</v>
      </c>
      <c r="F4" t="s">
        <v>12</v>
      </c>
      <c r="G4" t="s">
        <v>23</v>
      </c>
      <c r="H4" t="s">
        <v>24</v>
      </c>
    </row>
    <row r="5" spans="1:8">
      <c r="A5">
        <v>4</v>
      </c>
      <c r="B5" t="s">
        <v>25</v>
      </c>
      <c r="C5" t="s">
        <v>26</v>
      </c>
      <c r="D5" t="s">
        <v>10</v>
      </c>
      <c r="E5" t="s">
        <v>27</v>
      </c>
      <c r="F5" t="s">
        <v>12</v>
      </c>
      <c r="G5" t="s">
        <v>28</v>
      </c>
      <c r="H5" t="s">
        <v>29</v>
      </c>
    </row>
    <row r="6" spans="1:8">
      <c r="A6">
        <v>5</v>
      </c>
      <c r="B6" t="s">
        <v>30</v>
      </c>
      <c r="C6" t="s">
        <v>31</v>
      </c>
      <c r="D6" t="s">
        <v>10</v>
      </c>
      <c r="E6" t="s">
        <v>32</v>
      </c>
      <c r="F6" t="s">
        <v>12</v>
      </c>
      <c r="G6" t="s">
        <v>33</v>
      </c>
      <c r="H6" t="s">
        <v>34</v>
      </c>
    </row>
    <row r="7" spans="1:8">
      <c r="A7">
        <v>6</v>
      </c>
      <c r="B7" t="s">
        <v>35</v>
      </c>
      <c r="C7" t="s">
        <v>36</v>
      </c>
      <c r="D7" t="s">
        <v>10</v>
      </c>
      <c r="E7" t="s">
        <v>11</v>
      </c>
      <c r="F7" t="s">
        <v>12</v>
      </c>
      <c r="G7" t="s">
        <v>17</v>
      </c>
      <c r="H7" t="s">
        <v>37</v>
      </c>
    </row>
    <row r="8" spans="1:8">
      <c r="A8">
        <v>7</v>
      </c>
      <c r="B8" t="s">
        <v>38</v>
      </c>
      <c r="C8" t="s">
        <v>39</v>
      </c>
      <c r="D8" t="s">
        <v>10</v>
      </c>
      <c r="E8" t="s">
        <v>28</v>
      </c>
      <c r="F8" t="s">
        <v>12</v>
      </c>
      <c r="G8" t="s">
        <v>22</v>
      </c>
      <c r="H8" t="s">
        <v>40</v>
      </c>
    </row>
    <row r="9" spans="1:8">
      <c r="A9">
        <v>8</v>
      </c>
      <c r="B9" t="s">
        <v>41</v>
      </c>
      <c r="C9" t="s">
        <v>9</v>
      </c>
      <c r="D9" t="s">
        <v>42</v>
      </c>
      <c r="E9" t="s">
        <v>18</v>
      </c>
      <c r="F9" t="s">
        <v>12</v>
      </c>
      <c r="G9" t="s">
        <v>32</v>
      </c>
      <c r="H9" t="s">
        <v>43</v>
      </c>
    </row>
    <row r="10" spans="1:8">
      <c r="A10">
        <v>9</v>
      </c>
      <c r="B10" t="s">
        <v>41</v>
      </c>
      <c r="C10" t="s">
        <v>9</v>
      </c>
      <c r="D10" t="s">
        <v>10</v>
      </c>
      <c r="E10" t="s">
        <v>23</v>
      </c>
      <c r="F10" t="s">
        <v>12</v>
      </c>
      <c r="G10" t="s">
        <v>27</v>
      </c>
      <c r="H10" t="s">
        <v>44</v>
      </c>
    </row>
    <row r="11" spans="1:8">
      <c r="A11">
        <v>10</v>
      </c>
      <c r="B11" t="s">
        <v>45</v>
      </c>
      <c r="C11" t="s">
        <v>16</v>
      </c>
      <c r="D11" t="s">
        <v>42</v>
      </c>
      <c r="E11" t="s">
        <v>33</v>
      </c>
      <c r="F11" t="s">
        <v>12</v>
      </c>
      <c r="G11" t="s">
        <v>11</v>
      </c>
      <c r="H11" t="s">
        <v>46</v>
      </c>
    </row>
    <row r="12" spans="1:8">
      <c r="A12">
        <v>11</v>
      </c>
      <c r="B12" t="s">
        <v>45</v>
      </c>
      <c r="C12" t="s">
        <v>16</v>
      </c>
      <c r="D12" t="s">
        <v>10</v>
      </c>
      <c r="E12" t="s">
        <v>22</v>
      </c>
      <c r="F12" t="s">
        <v>12</v>
      </c>
      <c r="G12" t="s">
        <v>13</v>
      </c>
      <c r="H12" t="s">
        <v>14</v>
      </c>
    </row>
    <row r="13" spans="1:8">
      <c r="A13">
        <v>12</v>
      </c>
      <c r="B13" t="s">
        <v>47</v>
      </c>
      <c r="C13" t="s">
        <v>21</v>
      </c>
      <c r="D13" t="s">
        <v>10</v>
      </c>
      <c r="E13" t="s">
        <v>28</v>
      </c>
      <c r="F13" t="s">
        <v>12</v>
      </c>
      <c r="G13" t="s">
        <v>17</v>
      </c>
      <c r="H13" t="s">
        <v>37</v>
      </c>
    </row>
    <row r="14" spans="1:8">
      <c r="A14">
        <v>13</v>
      </c>
      <c r="B14" t="s">
        <v>48</v>
      </c>
      <c r="C14" t="s">
        <v>26</v>
      </c>
      <c r="D14" t="s">
        <v>10</v>
      </c>
      <c r="E14" t="s">
        <v>18</v>
      </c>
      <c r="F14" t="s">
        <v>12</v>
      </c>
      <c r="G14" t="s">
        <v>23</v>
      </c>
      <c r="H14" t="s">
        <v>24</v>
      </c>
    </row>
    <row r="15" spans="1:8">
      <c r="A15">
        <v>14</v>
      </c>
      <c r="B15" t="s">
        <v>49</v>
      </c>
      <c r="C15" t="s">
        <v>31</v>
      </c>
      <c r="D15" t="s">
        <v>10</v>
      </c>
      <c r="E15" t="s">
        <v>27</v>
      </c>
      <c r="F15" t="s">
        <v>12</v>
      </c>
      <c r="G15" t="s">
        <v>32</v>
      </c>
      <c r="H15" t="s">
        <v>43</v>
      </c>
    </row>
    <row r="16" spans="1:8">
      <c r="A16">
        <v>15</v>
      </c>
      <c r="B16" t="s">
        <v>50</v>
      </c>
      <c r="C16" t="s">
        <v>36</v>
      </c>
      <c r="D16" t="s">
        <v>10</v>
      </c>
      <c r="E16" t="s">
        <v>33</v>
      </c>
      <c r="F16" t="s">
        <v>12</v>
      </c>
      <c r="G16" t="s">
        <v>17</v>
      </c>
      <c r="H16" t="s">
        <v>37</v>
      </c>
    </row>
    <row r="17" spans="1:8">
      <c r="A17">
        <v>16</v>
      </c>
      <c r="B17" t="s">
        <v>51</v>
      </c>
      <c r="C17" t="s">
        <v>39</v>
      </c>
      <c r="D17" t="s">
        <v>10</v>
      </c>
      <c r="E17" t="s">
        <v>13</v>
      </c>
      <c r="F17" t="s">
        <v>12</v>
      </c>
      <c r="G17" t="s">
        <v>23</v>
      </c>
      <c r="H17" t="s">
        <v>24</v>
      </c>
    </row>
    <row r="18" spans="1:8">
      <c r="A18">
        <v>17</v>
      </c>
      <c r="B18" t="s">
        <v>52</v>
      </c>
      <c r="C18" t="s">
        <v>9</v>
      </c>
      <c r="D18" t="s">
        <v>42</v>
      </c>
      <c r="E18" t="s">
        <v>11</v>
      </c>
      <c r="F18" t="s">
        <v>12</v>
      </c>
      <c r="G18" t="s">
        <v>28</v>
      </c>
      <c r="H18" t="s">
        <v>29</v>
      </c>
    </row>
    <row r="19" spans="1:8">
      <c r="A19">
        <v>18</v>
      </c>
      <c r="B19" t="s">
        <v>52</v>
      </c>
      <c r="C19" t="s">
        <v>9</v>
      </c>
      <c r="D19" t="s">
        <v>10</v>
      </c>
      <c r="E19" t="s">
        <v>32</v>
      </c>
      <c r="F19" t="s">
        <v>12</v>
      </c>
      <c r="G19" t="s">
        <v>22</v>
      </c>
      <c r="H19" t="s">
        <v>40</v>
      </c>
    </row>
    <row r="20" spans="1:8">
      <c r="A20">
        <v>19</v>
      </c>
      <c r="B20" t="s">
        <v>53</v>
      </c>
      <c r="C20" t="s">
        <v>16</v>
      </c>
      <c r="D20" t="s">
        <v>42</v>
      </c>
      <c r="E20" t="s">
        <v>27</v>
      </c>
      <c r="F20" t="s">
        <v>12</v>
      </c>
      <c r="G20" t="s">
        <v>33</v>
      </c>
      <c r="H20" t="s">
        <v>34</v>
      </c>
    </row>
    <row r="21" spans="1:8">
      <c r="A21">
        <v>20</v>
      </c>
      <c r="B21" t="s">
        <v>53</v>
      </c>
      <c r="C21" t="s">
        <v>16</v>
      </c>
      <c r="D21" t="s">
        <v>10</v>
      </c>
      <c r="E21" t="s">
        <v>13</v>
      </c>
      <c r="F21" t="s">
        <v>12</v>
      </c>
      <c r="G21" t="s">
        <v>18</v>
      </c>
      <c r="H21" t="s">
        <v>19</v>
      </c>
    </row>
    <row r="22" spans="1:8">
      <c r="A22">
        <v>21</v>
      </c>
      <c r="B22" t="s">
        <v>54</v>
      </c>
      <c r="C22" t="s">
        <v>21</v>
      </c>
      <c r="D22" t="s">
        <v>10</v>
      </c>
      <c r="E22" t="s">
        <v>23</v>
      </c>
      <c r="F22" t="s">
        <v>12</v>
      </c>
      <c r="G22" t="s">
        <v>11</v>
      </c>
      <c r="H22" t="s">
        <v>46</v>
      </c>
    </row>
    <row r="23" spans="1:8">
      <c r="A23">
        <v>22</v>
      </c>
      <c r="B23" t="s">
        <v>55</v>
      </c>
      <c r="C23" t="s">
        <v>26</v>
      </c>
      <c r="D23" t="s">
        <v>10</v>
      </c>
      <c r="E23" t="s">
        <v>17</v>
      </c>
      <c r="F23" t="s">
        <v>12</v>
      </c>
      <c r="G23" t="s">
        <v>22</v>
      </c>
      <c r="H23" t="s">
        <v>40</v>
      </c>
    </row>
    <row r="24" spans="1:8">
      <c r="A24">
        <v>23</v>
      </c>
      <c r="B24" t="s">
        <v>56</v>
      </c>
      <c r="C24" t="s">
        <v>31</v>
      </c>
      <c r="D24" t="s">
        <v>10</v>
      </c>
      <c r="E24" t="s">
        <v>33</v>
      </c>
      <c r="F24" t="s">
        <v>12</v>
      </c>
      <c r="G24" t="s">
        <v>13</v>
      </c>
      <c r="H24" t="s">
        <v>14</v>
      </c>
    </row>
    <row r="25" spans="1:8">
      <c r="A25">
        <v>24</v>
      </c>
      <c r="B25" t="s">
        <v>57</v>
      </c>
      <c r="C25" t="s">
        <v>36</v>
      </c>
      <c r="D25" t="s">
        <v>10</v>
      </c>
      <c r="E25" t="s">
        <v>28</v>
      </c>
      <c r="F25" t="s">
        <v>12</v>
      </c>
      <c r="G25" t="s">
        <v>18</v>
      </c>
      <c r="H25" t="s">
        <v>19</v>
      </c>
    </row>
    <row r="26" spans="1:8">
      <c r="A26">
        <v>25</v>
      </c>
      <c r="B26" t="s">
        <v>58</v>
      </c>
      <c r="C26" t="s">
        <v>39</v>
      </c>
      <c r="D26" t="s">
        <v>10</v>
      </c>
      <c r="E26" t="s">
        <v>17</v>
      </c>
      <c r="F26" t="s">
        <v>12</v>
      </c>
      <c r="G26" t="s">
        <v>27</v>
      </c>
      <c r="H26" t="s">
        <v>44</v>
      </c>
    </row>
    <row r="27" spans="1:8">
      <c r="A27">
        <v>26</v>
      </c>
      <c r="B27" t="s">
        <v>59</v>
      </c>
      <c r="C27" t="s">
        <v>9</v>
      </c>
      <c r="D27" t="s">
        <v>42</v>
      </c>
      <c r="E27" t="s">
        <v>32</v>
      </c>
      <c r="F27" t="s">
        <v>12</v>
      </c>
      <c r="G27" t="s">
        <v>13</v>
      </c>
      <c r="H27" t="s">
        <v>14</v>
      </c>
    </row>
    <row r="28" spans="1:8">
      <c r="A28">
        <v>27</v>
      </c>
      <c r="B28" t="s">
        <v>59</v>
      </c>
      <c r="C28" t="s">
        <v>9</v>
      </c>
      <c r="D28" t="s">
        <v>10</v>
      </c>
      <c r="E28" t="s">
        <v>22</v>
      </c>
      <c r="F28" t="s">
        <v>12</v>
      </c>
      <c r="G28" t="s">
        <v>11</v>
      </c>
      <c r="H28" t="s">
        <v>46</v>
      </c>
    </row>
    <row r="29" spans="1:8">
      <c r="A29">
        <v>28</v>
      </c>
      <c r="B29" t="s">
        <v>60</v>
      </c>
      <c r="C29" t="s">
        <v>16</v>
      </c>
      <c r="D29" t="s">
        <v>42</v>
      </c>
      <c r="E29" t="s">
        <v>23</v>
      </c>
      <c r="F29" t="s">
        <v>12</v>
      </c>
      <c r="G29" t="s">
        <v>17</v>
      </c>
      <c r="H29" t="s">
        <v>37</v>
      </c>
    </row>
    <row r="30" spans="1:8">
      <c r="A30">
        <v>29</v>
      </c>
      <c r="B30" t="s">
        <v>60</v>
      </c>
      <c r="C30" t="s">
        <v>16</v>
      </c>
      <c r="D30" t="s">
        <v>10</v>
      </c>
      <c r="E30" t="s">
        <v>33</v>
      </c>
      <c r="F30" t="s">
        <v>12</v>
      </c>
      <c r="G30" t="s">
        <v>28</v>
      </c>
      <c r="H30" t="s">
        <v>29</v>
      </c>
    </row>
    <row r="31" spans="1:8">
      <c r="A31">
        <v>30</v>
      </c>
      <c r="B31" t="s">
        <v>61</v>
      </c>
      <c r="C31" t="s">
        <v>21</v>
      </c>
      <c r="D31" t="s">
        <v>10</v>
      </c>
      <c r="E31" t="s">
        <v>18</v>
      </c>
      <c r="F31" t="s">
        <v>12</v>
      </c>
      <c r="G31" t="s">
        <v>27</v>
      </c>
      <c r="H31" t="s">
        <v>44</v>
      </c>
    </row>
    <row r="32" spans="1:8">
      <c r="A32">
        <v>31</v>
      </c>
      <c r="B32" t="s">
        <v>62</v>
      </c>
      <c r="C32" t="s">
        <v>26</v>
      </c>
      <c r="D32" t="s">
        <v>10</v>
      </c>
      <c r="E32" t="s">
        <v>32</v>
      </c>
      <c r="F32" t="s">
        <v>12</v>
      </c>
      <c r="G32" t="s">
        <v>11</v>
      </c>
      <c r="H32" t="s">
        <v>46</v>
      </c>
    </row>
    <row r="33" spans="1:8">
      <c r="A33">
        <v>32</v>
      </c>
      <c r="B33" t="s">
        <v>63</v>
      </c>
      <c r="C33" t="s">
        <v>31</v>
      </c>
      <c r="D33" t="s">
        <v>10</v>
      </c>
      <c r="E33" t="s">
        <v>23</v>
      </c>
      <c r="F33" t="s">
        <v>12</v>
      </c>
      <c r="G33" t="s">
        <v>33</v>
      </c>
      <c r="H33" t="s">
        <v>34</v>
      </c>
    </row>
    <row r="34" spans="1:8">
      <c r="A34">
        <v>33</v>
      </c>
      <c r="B34" t="s">
        <v>64</v>
      </c>
      <c r="C34" t="s">
        <v>36</v>
      </c>
      <c r="D34" t="s">
        <v>10</v>
      </c>
      <c r="E34" t="s">
        <v>22</v>
      </c>
      <c r="F34" t="s">
        <v>12</v>
      </c>
      <c r="G34" t="s">
        <v>18</v>
      </c>
      <c r="H34" t="s">
        <v>19</v>
      </c>
    </row>
    <row r="35" spans="1:8">
      <c r="A35">
        <v>34</v>
      </c>
      <c r="B35" t="s">
        <v>65</v>
      </c>
      <c r="C35" t="s">
        <v>39</v>
      </c>
      <c r="D35" t="s">
        <v>10</v>
      </c>
      <c r="E35" t="s">
        <v>27</v>
      </c>
      <c r="F35" t="s">
        <v>12</v>
      </c>
      <c r="G35" t="s">
        <v>13</v>
      </c>
      <c r="H35" t="s">
        <v>14</v>
      </c>
    </row>
    <row r="36" spans="1:8">
      <c r="A36">
        <v>35</v>
      </c>
      <c r="B36" t="s">
        <v>66</v>
      </c>
      <c r="C36" t="s">
        <v>9</v>
      </c>
      <c r="D36" t="s">
        <v>42</v>
      </c>
      <c r="E36" t="s">
        <v>28</v>
      </c>
      <c r="F36" t="s">
        <v>12</v>
      </c>
      <c r="G36" t="s">
        <v>32</v>
      </c>
      <c r="H36" t="s">
        <v>43</v>
      </c>
    </row>
    <row r="37" spans="1:8">
      <c r="A37">
        <v>36</v>
      </c>
      <c r="B37" t="s">
        <v>66</v>
      </c>
      <c r="C37" t="s">
        <v>9</v>
      </c>
      <c r="D37" t="s">
        <v>10</v>
      </c>
      <c r="E37" t="s">
        <v>11</v>
      </c>
      <c r="F37" t="s">
        <v>12</v>
      </c>
      <c r="G37" t="s">
        <v>23</v>
      </c>
      <c r="H37" t="s">
        <v>67</v>
      </c>
    </row>
    <row r="38" spans="1:8">
      <c r="A38">
        <v>37</v>
      </c>
      <c r="B38" t="s">
        <v>68</v>
      </c>
      <c r="C38" t="s">
        <v>16</v>
      </c>
      <c r="D38" t="s">
        <v>42</v>
      </c>
      <c r="E38" t="s">
        <v>22</v>
      </c>
      <c r="F38" t="s">
        <v>12</v>
      </c>
      <c r="G38" t="s">
        <v>27</v>
      </c>
      <c r="H38" t="s">
        <v>44</v>
      </c>
    </row>
    <row r="39" spans="1:8">
      <c r="A39">
        <v>38</v>
      </c>
      <c r="B39" t="s">
        <v>68</v>
      </c>
      <c r="C39" t="s">
        <v>16</v>
      </c>
      <c r="D39" t="s">
        <v>10</v>
      </c>
      <c r="E39" t="s">
        <v>17</v>
      </c>
      <c r="F39" t="s">
        <v>12</v>
      </c>
      <c r="G39" t="s">
        <v>33</v>
      </c>
      <c r="H39" t="s">
        <v>34</v>
      </c>
    </row>
    <row r="40" spans="1:8">
      <c r="A40">
        <v>39</v>
      </c>
      <c r="B40" t="s">
        <v>69</v>
      </c>
      <c r="C40" t="s">
        <v>21</v>
      </c>
      <c r="D40" t="s">
        <v>10</v>
      </c>
      <c r="E40" t="s">
        <v>13</v>
      </c>
      <c r="F40" t="s">
        <v>12</v>
      </c>
      <c r="G40" t="s">
        <v>32</v>
      </c>
      <c r="H40" t="s">
        <v>43</v>
      </c>
    </row>
    <row r="41" spans="1:8">
      <c r="A41">
        <v>40</v>
      </c>
      <c r="B41" t="s">
        <v>70</v>
      </c>
      <c r="C41" t="s">
        <v>26</v>
      </c>
      <c r="D41" t="s">
        <v>10</v>
      </c>
      <c r="E41" t="s">
        <v>23</v>
      </c>
      <c r="F41" t="s">
        <v>12</v>
      </c>
      <c r="G41" t="s">
        <v>28</v>
      </c>
      <c r="H41" t="s">
        <v>29</v>
      </c>
    </row>
    <row r="42" spans="1:8">
      <c r="A42">
        <v>41</v>
      </c>
      <c r="B42" t="s">
        <v>71</v>
      </c>
      <c r="C42" t="s">
        <v>31</v>
      </c>
      <c r="D42" t="s">
        <v>10</v>
      </c>
      <c r="E42" t="s">
        <v>11</v>
      </c>
      <c r="F42" t="s">
        <v>12</v>
      </c>
      <c r="G42" t="s">
        <v>18</v>
      </c>
      <c r="H42" t="s">
        <v>19</v>
      </c>
    </row>
    <row r="43" spans="1:8">
      <c r="A43">
        <v>42</v>
      </c>
      <c r="B43" t="s">
        <v>72</v>
      </c>
      <c r="C43" t="s">
        <v>36</v>
      </c>
      <c r="D43" t="s">
        <v>10</v>
      </c>
      <c r="E43" t="s">
        <v>13</v>
      </c>
      <c r="F43" t="s">
        <v>12</v>
      </c>
      <c r="G43" t="s">
        <v>27</v>
      </c>
      <c r="H43" t="s">
        <v>44</v>
      </c>
    </row>
    <row r="44" spans="1:8">
      <c r="A44">
        <v>43</v>
      </c>
      <c r="B44" t="s">
        <v>73</v>
      </c>
      <c r="C44" t="s">
        <v>39</v>
      </c>
      <c r="D44" t="s">
        <v>10</v>
      </c>
      <c r="E44" t="s">
        <v>32</v>
      </c>
      <c r="F44" t="s">
        <v>12</v>
      </c>
      <c r="G44" t="s">
        <v>23</v>
      </c>
      <c r="H44" t="s">
        <v>67</v>
      </c>
    </row>
    <row r="45" spans="1:8">
      <c r="A45">
        <v>44</v>
      </c>
      <c r="B45" t="s">
        <v>74</v>
      </c>
      <c r="C45" t="s">
        <v>9</v>
      </c>
      <c r="D45" t="s">
        <v>10</v>
      </c>
      <c r="E45" t="s">
        <v>18</v>
      </c>
      <c r="F45" t="s">
        <v>12</v>
      </c>
      <c r="G45" t="s">
        <v>22</v>
      </c>
      <c r="H45" t="s">
        <v>40</v>
      </c>
    </row>
    <row r="46" spans="1:8">
      <c r="A46">
        <v>45</v>
      </c>
      <c r="B46" t="s">
        <v>75</v>
      </c>
      <c r="C46" t="s">
        <v>16</v>
      </c>
      <c r="D46" t="s">
        <v>42</v>
      </c>
      <c r="E46" t="s">
        <v>17</v>
      </c>
      <c r="F46" t="s">
        <v>12</v>
      </c>
      <c r="G46" t="s">
        <v>11</v>
      </c>
      <c r="H46" t="s">
        <v>46</v>
      </c>
    </row>
    <row r="47" spans="1:8">
      <c r="A47">
        <v>46</v>
      </c>
      <c r="B47" t="s">
        <v>75</v>
      </c>
      <c r="C47" t="s">
        <v>16</v>
      </c>
      <c r="D47" t="s">
        <v>10</v>
      </c>
      <c r="E47" t="s">
        <v>28</v>
      </c>
      <c r="F47" t="s">
        <v>12</v>
      </c>
      <c r="G47" t="s">
        <v>27</v>
      </c>
      <c r="H47" t="s">
        <v>44</v>
      </c>
    </row>
    <row r="48" spans="1:8">
      <c r="A48">
        <v>47</v>
      </c>
      <c r="B48" t="s">
        <v>76</v>
      </c>
      <c r="C48" t="s">
        <v>21</v>
      </c>
      <c r="D48" t="s">
        <v>10</v>
      </c>
      <c r="E48" t="s">
        <v>33</v>
      </c>
      <c r="F48" t="s">
        <v>12</v>
      </c>
      <c r="G48" t="s">
        <v>18</v>
      </c>
      <c r="H48" t="s">
        <v>19</v>
      </c>
    </row>
    <row r="49" spans="1:8">
      <c r="A49">
        <v>48</v>
      </c>
      <c r="B49" t="s">
        <v>77</v>
      </c>
      <c r="C49" t="s">
        <v>26</v>
      </c>
      <c r="D49" t="s">
        <v>10</v>
      </c>
      <c r="E49" t="s">
        <v>22</v>
      </c>
      <c r="F49" t="s">
        <v>12</v>
      </c>
      <c r="G49" t="s">
        <v>32</v>
      </c>
      <c r="H49" t="s">
        <v>43</v>
      </c>
    </row>
    <row r="50" spans="1:8">
      <c r="A50">
        <v>49</v>
      </c>
      <c r="B50" t="s">
        <v>78</v>
      </c>
      <c r="C50" t="s">
        <v>31</v>
      </c>
      <c r="D50" t="s">
        <v>10</v>
      </c>
      <c r="E50" t="s">
        <v>28</v>
      </c>
      <c r="F50" t="s">
        <v>12</v>
      </c>
      <c r="G50" t="s">
        <v>11</v>
      </c>
      <c r="H50" t="s">
        <v>46</v>
      </c>
    </row>
    <row r="51" spans="1:8">
      <c r="A51">
        <v>50</v>
      </c>
      <c r="B51" t="s">
        <v>79</v>
      </c>
      <c r="C51" t="s">
        <v>36</v>
      </c>
      <c r="D51" t="s">
        <v>10</v>
      </c>
      <c r="E51" t="s">
        <v>13</v>
      </c>
      <c r="F51" t="s">
        <v>12</v>
      </c>
      <c r="G51" t="s">
        <v>33</v>
      </c>
      <c r="H51" t="s">
        <v>34</v>
      </c>
    </row>
    <row r="52" spans="1:8">
      <c r="A52">
        <v>51</v>
      </c>
      <c r="B52" t="s">
        <v>80</v>
      </c>
      <c r="C52" t="s">
        <v>39</v>
      </c>
      <c r="D52" t="s">
        <v>10</v>
      </c>
      <c r="E52" t="s">
        <v>17</v>
      </c>
      <c r="F52" t="s">
        <v>12</v>
      </c>
      <c r="G52" t="s">
        <v>32</v>
      </c>
      <c r="H52" t="s">
        <v>43</v>
      </c>
    </row>
    <row r="53" spans="1:8">
      <c r="A53">
        <v>52</v>
      </c>
      <c r="B53" t="s">
        <v>81</v>
      </c>
      <c r="C53" t="s">
        <v>9</v>
      </c>
      <c r="D53" t="s">
        <v>10</v>
      </c>
      <c r="E53" t="s">
        <v>27</v>
      </c>
      <c r="F53" t="s">
        <v>12</v>
      </c>
      <c r="G53" t="s">
        <v>23</v>
      </c>
      <c r="H53" t="s">
        <v>67</v>
      </c>
    </row>
    <row r="54" spans="1:8">
      <c r="A54">
        <v>53</v>
      </c>
      <c r="B54" t="s">
        <v>82</v>
      </c>
      <c r="C54" t="s">
        <v>16</v>
      </c>
      <c r="D54" t="s">
        <v>42</v>
      </c>
      <c r="E54" t="s">
        <v>33</v>
      </c>
      <c r="F54" t="s">
        <v>12</v>
      </c>
      <c r="G54" t="s">
        <v>22</v>
      </c>
      <c r="H54" t="s">
        <v>40</v>
      </c>
    </row>
    <row r="55" spans="1:8">
      <c r="A55">
        <v>54</v>
      </c>
      <c r="B55" t="s">
        <v>82</v>
      </c>
      <c r="C55" t="s">
        <v>16</v>
      </c>
      <c r="D55" t="s">
        <v>10</v>
      </c>
      <c r="E55" t="s">
        <v>18</v>
      </c>
      <c r="F55" t="s">
        <v>12</v>
      </c>
      <c r="G55" t="s">
        <v>13</v>
      </c>
      <c r="H55" t="s">
        <v>83</v>
      </c>
    </row>
    <row r="56" spans="1:8">
      <c r="A56">
        <v>55</v>
      </c>
      <c r="B56" t="s">
        <v>84</v>
      </c>
      <c r="C56" t="s">
        <v>21</v>
      </c>
      <c r="D56" t="s">
        <v>10</v>
      </c>
      <c r="E56" t="s">
        <v>32</v>
      </c>
      <c r="F56" t="s">
        <v>12</v>
      </c>
      <c r="G56" t="s">
        <v>28</v>
      </c>
      <c r="H56" t="s">
        <v>85</v>
      </c>
    </row>
    <row r="57" spans="1:8">
      <c r="A57">
        <v>56</v>
      </c>
      <c r="B57" t="s">
        <v>86</v>
      </c>
      <c r="C57" t="s">
        <v>26</v>
      </c>
      <c r="D57" t="s">
        <v>10</v>
      </c>
      <c r="E57" t="s">
        <v>11</v>
      </c>
      <c r="F57" t="s">
        <v>12</v>
      </c>
      <c r="G57" t="s">
        <v>27</v>
      </c>
      <c r="H57" t="s">
        <v>44</v>
      </c>
    </row>
    <row r="58" spans="1:8">
      <c r="A58">
        <v>57</v>
      </c>
      <c r="B58" t="s">
        <v>87</v>
      </c>
      <c r="C58" t="s">
        <v>31</v>
      </c>
      <c r="D58" t="s">
        <v>10</v>
      </c>
      <c r="E58" t="s">
        <v>17</v>
      </c>
      <c r="F58" t="s">
        <v>12</v>
      </c>
      <c r="G58" t="s">
        <v>13</v>
      </c>
      <c r="H58" t="s">
        <v>83</v>
      </c>
    </row>
    <row r="59" spans="1:8">
      <c r="A59">
        <v>58</v>
      </c>
      <c r="B59" t="s">
        <v>88</v>
      </c>
      <c r="C59" t="s">
        <v>36</v>
      </c>
      <c r="D59" t="s">
        <v>10</v>
      </c>
      <c r="E59" t="s">
        <v>18</v>
      </c>
      <c r="F59" t="s">
        <v>12</v>
      </c>
      <c r="G59" t="s">
        <v>28</v>
      </c>
      <c r="H59" t="s">
        <v>85</v>
      </c>
    </row>
    <row r="60" spans="1:8">
      <c r="A60">
        <v>59</v>
      </c>
      <c r="B60" t="s">
        <v>89</v>
      </c>
      <c r="C60" t="s">
        <v>39</v>
      </c>
      <c r="D60" t="s">
        <v>10</v>
      </c>
      <c r="E60" t="s">
        <v>22</v>
      </c>
      <c r="F60" t="s">
        <v>12</v>
      </c>
      <c r="G60" t="s">
        <v>33</v>
      </c>
      <c r="H60" t="s">
        <v>34</v>
      </c>
    </row>
    <row r="61" spans="1:8">
      <c r="A61">
        <v>60</v>
      </c>
      <c r="B61" t="s">
        <v>90</v>
      </c>
      <c r="C61" t="s">
        <v>9</v>
      </c>
      <c r="D61" t="s">
        <v>10</v>
      </c>
      <c r="E61" t="s">
        <v>27</v>
      </c>
      <c r="F61" t="s">
        <v>12</v>
      </c>
      <c r="G61" t="s">
        <v>17</v>
      </c>
      <c r="H61" t="s">
        <v>37</v>
      </c>
    </row>
    <row r="62" spans="1:8">
      <c r="A62">
        <v>61</v>
      </c>
      <c r="B62" t="s">
        <v>91</v>
      </c>
      <c r="C62" t="s">
        <v>16</v>
      </c>
      <c r="D62" t="s">
        <v>42</v>
      </c>
      <c r="E62" t="s">
        <v>13</v>
      </c>
      <c r="F62" t="s">
        <v>12</v>
      </c>
      <c r="G62" t="s">
        <v>28</v>
      </c>
      <c r="H62" t="s">
        <v>85</v>
      </c>
    </row>
    <row r="63" spans="1:8">
      <c r="A63">
        <v>62</v>
      </c>
      <c r="B63" t="s">
        <v>91</v>
      </c>
      <c r="C63" t="s">
        <v>16</v>
      </c>
      <c r="D63" t="s">
        <v>10</v>
      </c>
      <c r="E63" t="s">
        <v>23</v>
      </c>
      <c r="F63" t="s">
        <v>12</v>
      </c>
      <c r="G63" t="s">
        <v>32</v>
      </c>
      <c r="H63" t="s">
        <v>43</v>
      </c>
    </row>
    <row r="64" spans="1:8">
      <c r="A64">
        <v>63</v>
      </c>
      <c r="B64" t="s">
        <v>92</v>
      </c>
      <c r="C64" t="s">
        <v>21</v>
      </c>
      <c r="D64" t="s">
        <v>10</v>
      </c>
      <c r="E64" t="s">
        <v>11</v>
      </c>
      <c r="F64" t="s">
        <v>12</v>
      </c>
      <c r="G64" t="s">
        <v>22</v>
      </c>
      <c r="H64" t="s">
        <v>40</v>
      </c>
    </row>
    <row r="65" spans="1:8">
      <c r="A65">
        <v>64</v>
      </c>
      <c r="B65" t="s">
        <v>93</v>
      </c>
      <c r="C65" t="s">
        <v>26</v>
      </c>
      <c r="D65" t="s">
        <v>10</v>
      </c>
      <c r="E65" t="s">
        <v>33</v>
      </c>
      <c r="F65" t="s">
        <v>12</v>
      </c>
      <c r="G65" t="s">
        <v>23</v>
      </c>
      <c r="H65" t="s">
        <v>67</v>
      </c>
    </row>
    <row r="66" spans="1:8">
      <c r="A66">
        <v>65</v>
      </c>
      <c r="B66" t="s">
        <v>94</v>
      </c>
      <c r="C66" t="s">
        <v>31</v>
      </c>
      <c r="D66" t="s">
        <v>10</v>
      </c>
      <c r="E66" t="s">
        <v>18</v>
      </c>
      <c r="F66" t="s">
        <v>12</v>
      </c>
      <c r="G66" t="s">
        <v>17</v>
      </c>
      <c r="H66" t="s">
        <v>37</v>
      </c>
    </row>
    <row r="67" spans="1:8">
      <c r="A67">
        <v>66</v>
      </c>
      <c r="B67" t="s">
        <v>95</v>
      </c>
      <c r="C67" t="s">
        <v>36</v>
      </c>
      <c r="D67" t="s">
        <v>10</v>
      </c>
      <c r="E67" t="s">
        <v>27</v>
      </c>
      <c r="F67" t="s">
        <v>12</v>
      </c>
      <c r="G67" t="s">
        <v>22</v>
      </c>
      <c r="H67" t="s">
        <v>40</v>
      </c>
    </row>
    <row r="68" spans="1:8">
      <c r="A68">
        <v>67</v>
      </c>
      <c r="B68" t="s">
        <v>96</v>
      </c>
      <c r="C68" t="s">
        <v>39</v>
      </c>
      <c r="D68" t="s">
        <v>10</v>
      </c>
      <c r="E68" t="s">
        <v>13</v>
      </c>
      <c r="F68" t="s">
        <v>12</v>
      </c>
      <c r="G68" t="s">
        <v>11</v>
      </c>
      <c r="H68" t="s">
        <v>46</v>
      </c>
    </row>
    <row r="69" spans="1:8">
      <c r="A69">
        <v>68</v>
      </c>
      <c r="B69" t="s">
        <v>97</v>
      </c>
      <c r="C69" t="s">
        <v>9</v>
      </c>
      <c r="D69" t="s">
        <v>10</v>
      </c>
      <c r="E69" t="s">
        <v>28</v>
      </c>
      <c r="F69" t="s">
        <v>12</v>
      </c>
      <c r="G69" t="s">
        <v>33</v>
      </c>
      <c r="H69" t="s">
        <v>34</v>
      </c>
    </row>
    <row r="70" spans="1:8">
      <c r="A70">
        <v>69</v>
      </c>
      <c r="B70" t="s">
        <v>98</v>
      </c>
      <c r="C70" t="s">
        <v>16</v>
      </c>
      <c r="D70" t="s">
        <v>42</v>
      </c>
      <c r="E70" t="s">
        <v>23</v>
      </c>
      <c r="F70" t="s">
        <v>12</v>
      </c>
      <c r="G70" t="s">
        <v>18</v>
      </c>
      <c r="H70" t="s">
        <v>19</v>
      </c>
    </row>
    <row r="71" spans="1:8">
      <c r="A71">
        <v>70</v>
      </c>
      <c r="B71" t="s">
        <v>98</v>
      </c>
      <c r="C71" t="s">
        <v>16</v>
      </c>
      <c r="D71" t="s">
        <v>10</v>
      </c>
      <c r="E71" t="s">
        <v>32</v>
      </c>
      <c r="F71" t="s">
        <v>12</v>
      </c>
      <c r="G71" t="s">
        <v>17</v>
      </c>
      <c r="H71" t="s">
        <v>37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7B5E-B639-41C7-ACA0-3C06794DF9FF}">
  <dimension ref="A1:AB86"/>
  <sheetViews>
    <sheetView showGridLines="0" tabSelected="1" workbookViewId="0">
      <selection activeCell="A72" sqref="A72"/>
    </sheetView>
  </sheetViews>
  <sheetFormatPr defaultColWidth="13.7109375" defaultRowHeight="15" customHeight="1"/>
  <cols>
    <col min="1" max="1" width="8.7109375" bestFit="1" customWidth="1"/>
    <col min="2" max="2" width="14" customWidth="1"/>
    <col min="3" max="3" width="13.85546875" customWidth="1"/>
    <col min="4" max="4" width="13.140625" bestFit="1" customWidth="1"/>
    <col min="5" max="5" width="11" bestFit="1" customWidth="1"/>
    <col min="6" max="6" width="9" bestFit="1" customWidth="1"/>
    <col min="7" max="7" width="10.28515625" bestFit="1" customWidth="1"/>
    <col min="8" max="8" width="10.140625" bestFit="1" customWidth="1"/>
    <col min="9" max="9" width="10.5703125" bestFit="1" customWidth="1"/>
    <col min="10" max="11" width="12" bestFit="1" customWidth="1"/>
    <col min="12" max="12" width="9.140625" bestFit="1" customWidth="1"/>
    <col min="13" max="13" width="8.5703125" customWidth="1"/>
    <col min="14" max="14" width="9.7109375" bestFit="1" customWidth="1"/>
    <col min="15" max="15" width="5.42578125" bestFit="1" customWidth="1"/>
    <col min="16" max="16" width="10.42578125" customWidth="1"/>
    <col min="17" max="17" width="13.28515625" customWidth="1"/>
    <col min="18" max="20" width="9.85546875" bestFit="1" customWidth="1"/>
    <col min="21" max="21" width="6" bestFit="1" customWidth="1"/>
    <col min="22" max="22" width="13.140625" style="8" bestFit="1" customWidth="1"/>
    <col min="23" max="23" width="4" style="8" bestFit="1" customWidth="1"/>
    <col min="24" max="26" width="3.5703125" style="8" bestFit="1" customWidth="1"/>
    <col min="27" max="27" width="5" style="8" bestFit="1" customWidth="1"/>
    <col min="28" max="28" width="13.7109375" style="8"/>
  </cols>
  <sheetData>
    <row r="1" spans="1:27" ht="45.75">
      <c r="A1" s="15" t="s">
        <v>99</v>
      </c>
      <c r="B1" s="15" t="s">
        <v>1</v>
      </c>
      <c r="C1" s="15" t="s">
        <v>100</v>
      </c>
      <c r="D1" s="15" t="s">
        <v>101</v>
      </c>
      <c r="E1" s="15" t="s">
        <v>102</v>
      </c>
      <c r="F1" s="15" t="s">
        <v>103</v>
      </c>
      <c r="G1" s="31" t="s">
        <v>104</v>
      </c>
      <c r="H1" s="31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5" t="s">
        <v>111</v>
      </c>
      <c r="O1" s="15" t="s">
        <v>112</v>
      </c>
      <c r="P1" s="15" t="s">
        <v>113</v>
      </c>
      <c r="Q1" s="15" t="s">
        <v>114</v>
      </c>
      <c r="R1" s="15"/>
      <c r="S1" s="15"/>
      <c r="T1" s="15"/>
      <c r="U1" s="15" t="s">
        <v>115</v>
      </c>
      <c r="V1"/>
      <c r="W1"/>
      <c r="X1"/>
      <c r="Y1"/>
      <c r="Z1"/>
      <c r="AA1"/>
    </row>
    <row r="2" spans="1:27">
      <c r="A2" s="27">
        <v>1</v>
      </c>
      <c r="B2" s="28">
        <v>46109</v>
      </c>
      <c r="C2" s="29" t="s">
        <v>116</v>
      </c>
      <c r="D2" s="30">
        <v>50</v>
      </c>
      <c r="E2" s="30">
        <v>50</v>
      </c>
      <c r="F2" s="30">
        <v>50</v>
      </c>
      <c r="G2" s="30">
        <v>50</v>
      </c>
      <c r="H2" s="30">
        <v>50</v>
      </c>
      <c r="I2" s="30">
        <v>50</v>
      </c>
      <c r="J2" s="30">
        <v>50</v>
      </c>
      <c r="K2" s="30">
        <v>30</v>
      </c>
      <c r="L2" s="30">
        <v>50</v>
      </c>
      <c r="M2" s="30">
        <v>50</v>
      </c>
      <c r="N2" s="30">
        <v>50</v>
      </c>
      <c r="O2" s="30">
        <v>50</v>
      </c>
      <c r="P2" s="30">
        <v>50</v>
      </c>
      <c r="Q2" s="30">
        <v>50</v>
      </c>
      <c r="R2" s="32"/>
      <c r="S2" s="32"/>
      <c r="T2" s="32"/>
      <c r="U2" s="33">
        <f>SUM(D2:T2)</f>
        <v>680</v>
      </c>
      <c r="V2"/>
      <c r="W2"/>
      <c r="X2"/>
      <c r="Y2"/>
      <c r="Z2"/>
      <c r="AA2"/>
    </row>
    <row r="3" spans="1:27">
      <c r="A3" s="27">
        <v>2</v>
      </c>
      <c r="B3" s="28">
        <v>46110</v>
      </c>
      <c r="C3" s="29" t="s">
        <v>117</v>
      </c>
      <c r="D3" s="26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2"/>
      <c r="R3" s="32"/>
      <c r="S3" s="32"/>
      <c r="T3" s="32"/>
      <c r="U3" s="33">
        <f>SUM(D3:T3)</f>
        <v>0</v>
      </c>
      <c r="V3"/>
      <c r="W3"/>
      <c r="X3"/>
      <c r="Y3"/>
      <c r="Z3"/>
      <c r="AA3"/>
    </row>
    <row r="4" spans="1:27">
      <c r="A4" s="27">
        <v>3</v>
      </c>
      <c r="B4" s="28">
        <v>46111</v>
      </c>
      <c r="C4" s="29" t="s">
        <v>118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2"/>
      <c r="R4" s="32"/>
      <c r="S4" s="32"/>
      <c r="T4" s="32"/>
      <c r="U4" s="33">
        <f>SUM(D4:T4)</f>
        <v>0</v>
      </c>
      <c r="V4"/>
      <c r="W4"/>
      <c r="X4"/>
      <c r="Y4"/>
      <c r="Z4"/>
      <c r="AA4"/>
    </row>
    <row r="5" spans="1:27">
      <c r="A5" s="27">
        <v>4</v>
      </c>
      <c r="B5" s="28">
        <v>46112</v>
      </c>
      <c r="C5" s="29" t="s">
        <v>119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2"/>
      <c r="T5" s="32"/>
      <c r="U5" s="33">
        <f>SUM(D5:T5)</f>
        <v>0</v>
      </c>
      <c r="V5"/>
      <c r="W5"/>
      <c r="X5"/>
      <c r="Y5"/>
      <c r="Z5"/>
      <c r="AA5"/>
    </row>
    <row r="6" spans="1:27">
      <c r="A6" s="27">
        <v>5</v>
      </c>
      <c r="B6" s="28">
        <v>46113</v>
      </c>
      <c r="C6" s="29" t="s">
        <v>120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2"/>
      <c r="T6" s="32"/>
      <c r="U6" s="33">
        <f>SUM(D6:T6)</f>
        <v>0</v>
      </c>
      <c r="V6"/>
      <c r="W6"/>
      <c r="X6"/>
      <c r="Y6"/>
      <c r="Z6"/>
      <c r="AA6"/>
    </row>
    <row r="7" spans="1:27">
      <c r="A7" s="27">
        <v>6</v>
      </c>
      <c r="B7" s="28">
        <v>46114</v>
      </c>
      <c r="C7" s="29" t="s">
        <v>121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2"/>
      <c r="T7" s="32"/>
      <c r="U7" s="33">
        <f>SUM(D7:T7)</f>
        <v>0</v>
      </c>
      <c r="V7"/>
      <c r="W7"/>
      <c r="X7"/>
      <c r="Y7"/>
      <c r="Z7"/>
      <c r="AA7"/>
    </row>
    <row r="8" spans="1:27">
      <c r="A8" s="27">
        <v>7</v>
      </c>
      <c r="B8" s="28">
        <v>46115</v>
      </c>
      <c r="C8" s="29" t="s">
        <v>122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2"/>
      <c r="T8" s="32"/>
      <c r="U8" s="33">
        <f>SUM(D8:T8)</f>
        <v>0</v>
      </c>
      <c r="V8"/>
      <c r="W8"/>
      <c r="X8"/>
      <c r="Y8"/>
      <c r="Z8"/>
      <c r="AA8"/>
    </row>
    <row r="9" spans="1:27">
      <c r="A9" s="27">
        <v>8</v>
      </c>
      <c r="B9" s="28">
        <v>46116</v>
      </c>
      <c r="C9" s="29" t="s">
        <v>123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2"/>
      <c r="T9" s="32"/>
      <c r="U9" s="33">
        <f>SUM(D9:T9)</f>
        <v>0</v>
      </c>
      <c r="V9"/>
      <c r="W9"/>
      <c r="X9"/>
      <c r="Y9"/>
      <c r="Z9"/>
      <c r="AA9"/>
    </row>
    <row r="10" spans="1:27">
      <c r="A10" s="27">
        <v>9</v>
      </c>
      <c r="B10" s="28">
        <v>46116</v>
      </c>
      <c r="C10" s="29" t="s">
        <v>124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2"/>
      <c r="T10" s="32"/>
      <c r="U10" s="33">
        <f>SUM(D10:T10)</f>
        <v>0</v>
      </c>
      <c r="V10"/>
      <c r="W10"/>
      <c r="X10"/>
      <c r="Y10"/>
      <c r="Z10"/>
      <c r="AA10"/>
    </row>
    <row r="11" spans="1:27">
      <c r="A11" s="27">
        <v>10</v>
      </c>
      <c r="B11" s="28">
        <v>46117</v>
      </c>
      <c r="C11" s="29" t="s">
        <v>125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2"/>
      <c r="T11" s="32"/>
      <c r="U11" s="33">
        <f>SUM(D11:T11)</f>
        <v>0</v>
      </c>
      <c r="V11"/>
      <c r="W11"/>
      <c r="X11"/>
      <c r="Y11"/>
      <c r="Z11"/>
      <c r="AA11"/>
    </row>
    <row r="12" spans="1:27">
      <c r="A12" s="27">
        <v>11</v>
      </c>
      <c r="B12" s="28">
        <v>46117</v>
      </c>
      <c r="C12" s="29" t="s">
        <v>126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3">
        <f>SUM(D12:T12)</f>
        <v>0</v>
      </c>
      <c r="V12"/>
      <c r="W12"/>
      <c r="X12"/>
      <c r="Y12"/>
      <c r="Z12"/>
      <c r="AA12"/>
    </row>
    <row r="13" spans="1:27">
      <c r="A13" s="27">
        <v>12</v>
      </c>
      <c r="B13" s="28">
        <v>46118</v>
      </c>
      <c r="C13" s="29" t="s">
        <v>127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3">
        <f>SUM(D13:T13)</f>
        <v>0</v>
      </c>
      <c r="V13"/>
      <c r="W13"/>
      <c r="X13"/>
      <c r="Y13"/>
      <c r="Z13"/>
      <c r="AA13"/>
    </row>
    <row r="14" spans="1:27">
      <c r="A14" s="27">
        <v>13</v>
      </c>
      <c r="B14" s="28">
        <v>46119</v>
      </c>
      <c r="C14" s="29" t="s">
        <v>128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3">
        <f>SUM(D14:T14)</f>
        <v>0</v>
      </c>
      <c r="V14"/>
      <c r="W14"/>
      <c r="X14"/>
      <c r="Y14"/>
      <c r="Z14"/>
      <c r="AA14"/>
    </row>
    <row r="15" spans="1:27">
      <c r="A15" s="27">
        <v>14</v>
      </c>
      <c r="B15" s="28">
        <v>46120</v>
      </c>
      <c r="C15" s="29" t="s">
        <v>129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3">
        <f>SUM(D15:T15)</f>
        <v>0</v>
      </c>
      <c r="V15"/>
      <c r="W15"/>
      <c r="X15"/>
      <c r="Y15"/>
      <c r="Z15"/>
      <c r="AA15"/>
    </row>
    <row r="16" spans="1:27">
      <c r="A16" s="27">
        <v>15</v>
      </c>
      <c r="B16" s="28">
        <v>46121</v>
      </c>
      <c r="C16" s="29" t="s">
        <v>130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3">
        <f>SUM(D16:T16)</f>
        <v>0</v>
      </c>
      <c r="V16"/>
      <c r="W16"/>
      <c r="X16"/>
      <c r="Y16"/>
      <c r="Z16"/>
      <c r="AA16"/>
    </row>
    <row r="17" spans="1:27">
      <c r="A17" s="27">
        <v>16</v>
      </c>
      <c r="B17" s="28">
        <v>46122</v>
      </c>
      <c r="C17" s="29" t="s">
        <v>131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3">
        <f>SUM(D17:T17)</f>
        <v>0</v>
      </c>
      <c r="V17"/>
      <c r="W17"/>
      <c r="X17"/>
      <c r="Y17"/>
      <c r="Z17"/>
      <c r="AA17"/>
    </row>
    <row r="18" spans="1:27">
      <c r="A18" s="27">
        <v>17</v>
      </c>
      <c r="B18" s="28">
        <v>46123</v>
      </c>
      <c r="C18" s="29" t="s">
        <v>132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3">
        <f>SUM(D18:T18)</f>
        <v>0</v>
      </c>
      <c r="V18"/>
      <c r="W18"/>
      <c r="X18"/>
      <c r="Y18"/>
      <c r="Z18"/>
      <c r="AA18"/>
    </row>
    <row r="19" spans="1:27">
      <c r="A19" s="27">
        <v>18</v>
      </c>
      <c r="B19" s="28">
        <v>46123</v>
      </c>
      <c r="C19" s="29" t="s">
        <v>133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3">
        <f>SUM(D19:T19)</f>
        <v>0</v>
      </c>
      <c r="V19"/>
      <c r="W19"/>
      <c r="X19"/>
      <c r="Y19"/>
      <c r="Z19"/>
      <c r="AA19"/>
    </row>
    <row r="20" spans="1:27">
      <c r="A20" s="27">
        <v>19</v>
      </c>
      <c r="B20" s="28">
        <v>46124</v>
      </c>
      <c r="C20" s="29" t="s">
        <v>134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3">
        <f>SUM(D20:T20)</f>
        <v>0</v>
      </c>
      <c r="V20"/>
      <c r="W20"/>
      <c r="X20"/>
      <c r="Y20"/>
      <c r="Z20"/>
      <c r="AA20"/>
    </row>
    <row r="21" spans="1:27">
      <c r="A21" s="27">
        <v>20</v>
      </c>
      <c r="B21" s="28">
        <v>46124</v>
      </c>
      <c r="C21" s="29" t="s">
        <v>135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3">
        <f>SUM(D21:T21)</f>
        <v>0</v>
      </c>
      <c r="V21"/>
      <c r="W21"/>
      <c r="X21"/>
      <c r="Y21"/>
      <c r="Z21"/>
      <c r="AA21"/>
    </row>
    <row r="22" spans="1:27">
      <c r="A22" s="27">
        <v>21</v>
      </c>
      <c r="B22" s="28">
        <v>46125</v>
      </c>
      <c r="C22" s="29" t="s">
        <v>136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3">
        <f>SUM(D22:T22)</f>
        <v>0</v>
      </c>
      <c r="V22"/>
      <c r="W22"/>
      <c r="X22"/>
      <c r="Y22"/>
      <c r="Z22"/>
      <c r="AA22"/>
    </row>
    <row r="23" spans="1:27">
      <c r="A23" s="27">
        <v>22</v>
      </c>
      <c r="B23" s="28">
        <v>46126</v>
      </c>
      <c r="C23" s="29" t="s">
        <v>137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3">
        <f>SUM(D23:T23)</f>
        <v>0</v>
      </c>
      <c r="V23"/>
      <c r="W23"/>
      <c r="X23"/>
      <c r="Y23"/>
      <c r="Z23"/>
      <c r="AA23"/>
    </row>
    <row r="24" spans="1:27">
      <c r="A24" s="27">
        <v>23</v>
      </c>
      <c r="B24" s="28">
        <v>46127</v>
      </c>
      <c r="C24" s="29" t="s">
        <v>138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3">
        <f>SUM(D24:T24)</f>
        <v>0</v>
      </c>
      <c r="V24"/>
      <c r="W24"/>
      <c r="X24"/>
      <c r="Y24"/>
      <c r="Z24"/>
      <c r="AA24"/>
    </row>
    <row r="25" spans="1:27">
      <c r="A25" s="27">
        <v>24</v>
      </c>
      <c r="B25" s="28">
        <v>46128</v>
      </c>
      <c r="C25" s="29" t="s">
        <v>139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3">
        <f>SUM(D25:T25)</f>
        <v>0</v>
      </c>
      <c r="V25"/>
      <c r="W25"/>
      <c r="X25"/>
      <c r="Y25"/>
      <c r="Z25"/>
      <c r="AA25"/>
    </row>
    <row r="26" spans="1:27">
      <c r="A26" s="27">
        <v>25</v>
      </c>
      <c r="B26" s="28">
        <v>46129</v>
      </c>
      <c r="C26" s="29" t="s">
        <v>140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3">
        <f>SUM(D26:T26)</f>
        <v>0</v>
      </c>
      <c r="V26"/>
      <c r="W26"/>
      <c r="X26"/>
      <c r="Y26"/>
      <c r="Z26"/>
      <c r="AA26"/>
    </row>
    <row r="27" spans="1:27">
      <c r="A27" s="27">
        <v>26</v>
      </c>
      <c r="B27" s="28">
        <v>46130</v>
      </c>
      <c r="C27" s="29" t="s">
        <v>141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3">
        <f>SUM(D27:T27)</f>
        <v>0</v>
      </c>
      <c r="V27"/>
      <c r="W27"/>
      <c r="X27"/>
      <c r="Y27"/>
      <c r="Z27"/>
      <c r="AA27"/>
    </row>
    <row r="28" spans="1:27">
      <c r="A28" s="27">
        <v>27</v>
      </c>
      <c r="B28" s="28">
        <v>46130</v>
      </c>
      <c r="C28" s="29" t="s">
        <v>142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3">
        <f>SUM(D28:T28)</f>
        <v>0</v>
      </c>
      <c r="V28"/>
      <c r="W28"/>
      <c r="X28"/>
      <c r="Y28"/>
      <c r="Z28"/>
      <c r="AA28"/>
    </row>
    <row r="29" spans="1:27">
      <c r="A29" s="27">
        <v>28</v>
      </c>
      <c r="B29" s="28">
        <v>46131</v>
      </c>
      <c r="C29" s="29" t="s">
        <v>143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3">
        <f>SUM(D29:T29)</f>
        <v>0</v>
      </c>
      <c r="V29"/>
      <c r="W29"/>
      <c r="X29"/>
      <c r="Y29"/>
      <c r="Z29"/>
      <c r="AA29"/>
    </row>
    <row r="30" spans="1:27">
      <c r="A30" s="27">
        <v>29</v>
      </c>
      <c r="B30" s="28">
        <v>46131</v>
      </c>
      <c r="C30" s="29" t="s">
        <v>144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3">
        <f>SUM(D30:T30)</f>
        <v>0</v>
      </c>
      <c r="V30"/>
      <c r="W30"/>
      <c r="X30"/>
      <c r="Y30"/>
      <c r="Z30"/>
      <c r="AA30"/>
    </row>
    <row r="31" spans="1:27">
      <c r="A31" s="27">
        <v>30</v>
      </c>
      <c r="B31" s="28">
        <v>46132</v>
      </c>
      <c r="C31" s="29" t="s">
        <v>145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3">
        <f>SUM(D31:T31)</f>
        <v>0</v>
      </c>
      <c r="V31"/>
      <c r="W31"/>
      <c r="X31"/>
      <c r="Y31"/>
      <c r="Z31"/>
      <c r="AA31"/>
    </row>
    <row r="32" spans="1:27">
      <c r="A32" s="27">
        <v>31</v>
      </c>
      <c r="B32" s="28">
        <v>46133</v>
      </c>
      <c r="C32" s="29" t="s">
        <v>146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3">
        <f>SUM(D32:T32)</f>
        <v>0</v>
      </c>
      <c r="V32"/>
      <c r="W32"/>
      <c r="X32"/>
      <c r="Y32"/>
      <c r="Z32"/>
      <c r="AA32"/>
    </row>
    <row r="33" spans="1:27">
      <c r="A33" s="27">
        <v>32</v>
      </c>
      <c r="B33" s="28">
        <v>46134</v>
      </c>
      <c r="C33" s="29" t="s">
        <v>147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3">
        <f>SUM(D33:T33)</f>
        <v>0</v>
      </c>
      <c r="V33"/>
      <c r="W33"/>
      <c r="X33"/>
      <c r="Y33"/>
      <c r="Z33"/>
      <c r="AA33"/>
    </row>
    <row r="34" spans="1:27">
      <c r="A34" s="27">
        <v>33</v>
      </c>
      <c r="B34" s="28">
        <v>46135</v>
      </c>
      <c r="C34" s="29" t="s">
        <v>148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3">
        <f>SUM(D34:T34)</f>
        <v>0</v>
      </c>
      <c r="V34"/>
      <c r="W34"/>
      <c r="X34"/>
      <c r="Y34"/>
      <c r="Z34"/>
      <c r="AA34"/>
    </row>
    <row r="35" spans="1:27">
      <c r="A35" s="27">
        <v>34</v>
      </c>
      <c r="B35" s="28">
        <v>46136</v>
      </c>
      <c r="C35" s="29" t="s">
        <v>149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3">
        <f>SUM(D35:T35)</f>
        <v>0</v>
      </c>
      <c r="V35"/>
      <c r="W35"/>
      <c r="X35"/>
      <c r="Y35"/>
      <c r="Z35"/>
      <c r="AA35"/>
    </row>
    <row r="36" spans="1:27">
      <c r="A36" s="27">
        <v>35</v>
      </c>
      <c r="B36" s="28">
        <v>46137</v>
      </c>
      <c r="C36" s="29" t="s">
        <v>150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3">
        <f>SUM(D36:T36)</f>
        <v>0</v>
      </c>
      <c r="V36"/>
      <c r="W36"/>
      <c r="X36"/>
      <c r="Y36"/>
      <c r="Z36"/>
      <c r="AA36"/>
    </row>
    <row r="37" spans="1:27">
      <c r="A37" s="27">
        <v>36</v>
      </c>
      <c r="B37" s="28">
        <v>46137</v>
      </c>
      <c r="C37" s="29" t="s">
        <v>151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3">
        <f>SUM(D37:T37)</f>
        <v>0</v>
      </c>
      <c r="V37"/>
      <c r="W37"/>
      <c r="X37"/>
      <c r="Y37"/>
      <c r="Z37"/>
      <c r="AA37"/>
    </row>
    <row r="38" spans="1:27">
      <c r="A38" s="27">
        <v>37</v>
      </c>
      <c r="B38" s="28">
        <v>46138</v>
      </c>
      <c r="C38" s="29" t="s">
        <v>152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3">
        <f>SUM(D38:T38)</f>
        <v>0</v>
      </c>
      <c r="V38"/>
      <c r="W38"/>
      <c r="X38"/>
      <c r="Y38"/>
      <c r="Z38"/>
      <c r="AA38"/>
    </row>
    <row r="39" spans="1:27">
      <c r="A39" s="27">
        <v>38</v>
      </c>
      <c r="B39" s="28">
        <v>46138</v>
      </c>
      <c r="C39" s="29" t="s">
        <v>153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3">
        <f>SUM(D39:T39)</f>
        <v>0</v>
      </c>
      <c r="V39"/>
      <c r="W39"/>
      <c r="X39"/>
      <c r="Y39"/>
      <c r="Z39"/>
      <c r="AA39"/>
    </row>
    <row r="40" spans="1:27">
      <c r="A40" s="27">
        <v>39</v>
      </c>
      <c r="B40" s="28">
        <v>46139</v>
      </c>
      <c r="C40" s="29" t="s">
        <v>154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3">
        <f>SUM(D40:T40)</f>
        <v>0</v>
      </c>
      <c r="V40"/>
      <c r="W40"/>
      <c r="X40"/>
      <c r="Y40"/>
      <c r="Z40"/>
      <c r="AA40"/>
    </row>
    <row r="41" spans="1:27">
      <c r="A41" s="27">
        <v>40</v>
      </c>
      <c r="B41" s="28">
        <v>46140</v>
      </c>
      <c r="C41" s="29" t="s">
        <v>155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3">
        <f>SUM(D41:T41)</f>
        <v>0</v>
      </c>
      <c r="V41"/>
      <c r="W41"/>
      <c r="X41"/>
      <c r="Y41"/>
      <c r="Z41"/>
      <c r="AA41"/>
    </row>
    <row r="42" spans="1:27">
      <c r="A42" s="27">
        <v>41</v>
      </c>
      <c r="B42" s="28">
        <v>46141</v>
      </c>
      <c r="C42" s="29" t="s">
        <v>156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3">
        <f>SUM(D42:T42)</f>
        <v>0</v>
      </c>
      <c r="V42"/>
      <c r="W42"/>
      <c r="X42"/>
      <c r="Y42"/>
      <c r="Z42"/>
      <c r="AA42"/>
    </row>
    <row r="43" spans="1:27">
      <c r="A43" s="27">
        <v>42</v>
      </c>
      <c r="B43" s="28">
        <v>46142</v>
      </c>
      <c r="C43" s="29" t="s">
        <v>157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3">
        <f>SUM(D43:T43)</f>
        <v>0</v>
      </c>
      <c r="V43"/>
      <c r="W43"/>
      <c r="X43"/>
      <c r="Y43"/>
      <c r="Z43"/>
      <c r="AA43"/>
    </row>
    <row r="44" spans="1:27">
      <c r="A44" s="27">
        <v>43</v>
      </c>
      <c r="B44" s="28">
        <v>46143</v>
      </c>
      <c r="C44" s="29" t="s">
        <v>158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3">
        <f>SUM(D44:T44)</f>
        <v>0</v>
      </c>
      <c r="V44"/>
      <c r="W44"/>
      <c r="X44"/>
      <c r="Y44"/>
      <c r="Z44"/>
      <c r="AA44"/>
    </row>
    <row r="45" spans="1:27">
      <c r="A45" s="27">
        <v>44</v>
      </c>
      <c r="B45" s="28">
        <v>46144</v>
      </c>
      <c r="C45" s="29" t="s">
        <v>159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3">
        <f>SUM(D45:T45)</f>
        <v>0</v>
      </c>
      <c r="V45"/>
      <c r="W45"/>
      <c r="X45"/>
      <c r="Y45"/>
      <c r="Z45"/>
      <c r="AA45"/>
    </row>
    <row r="46" spans="1:27">
      <c r="A46" s="27">
        <v>45</v>
      </c>
      <c r="B46" s="28">
        <v>46145</v>
      </c>
      <c r="C46" s="29" t="s">
        <v>121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3">
        <f>SUM(D46:T46)</f>
        <v>0</v>
      </c>
      <c r="V46"/>
      <c r="W46"/>
      <c r="X46"/>
      <c r="Y46"/>
      <c r="Z46"/>
      <c r="AA46"/>
    </row>
    <row r="47" spans="1:27">
      <c r="A47" s="27">
        <v>46</v>
      </c>
      <c r="B47" s="28">
        <v>46145</v>
      </c>
      <c r="C47" s="29" t="s">
        <v>119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3">
        <f>SUM(D47:T47)</f>
        <v>0</v>
      </c>
      <c r="V47"/>
      <c r="W47"/>
      <c r="X47"/>
      <c r="Y47"/>
      <c r="Z47"/>
      <c r="AA47"/>
    </row>
    <row r="48" spans="1:27">
      <c r="A48" s="27">
        <v>47</v>
      </c>
      <c r="B48" s="28">
        <v>46146</v>
      </c>
      <c r="C48" s="29" t="s">
        <v>160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3">
        <f>SUM(D48:T48)</f>
        <v>0</v>
      </c>
      <c r="V48"/>
      <c r="W48"/>
      <c r="X48"/>
      <c r="Y48"/>
      <c r="Z48"/>
      <c r="AA48"/>
    </row>
    <row r="49" spans="1:27">
      <c r="A49" s="27">
        <v>48</v>
      </c>
      <c r="B49" s="28">
        <v>46147</v>
      </c>
      <c r="C49" s="29" t="s">
        <v>161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3">
        <f>SUM(D49:T49)</f>
        <v>0</v>
      </c>
      <c r="V49"/>
      <c r="W49"/>
      <c r="X49"/>
      <c r="Y49"/>
      <c r="Z49"/>
      <c r="AA49"/>
    </row>
    <row r="50" spans="1:27">
      <c r="A50" s="27">
        <v>49</v>
      </c>
      <c r="B50" s="28">
        <v>46148</v>
      </c>
      <c r="C50" s="29" t="s">
        <v>162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3">
        <f>SUM(D50:T50)</f>
        <v>0</v>
      </c>
      <c r="V50"/>
      <c r="W50"/>
      <c r="X50"/>
      <c r="Y50"/>
      <c r="Z50"/>
      <c r="AA50"/>
    </row>
    <row r="51" spans="1:27">
      <c r="A51" s="27">
        <v>50</v>
      </c>
      <c r="B51" s="28">
        <v>46149</v>
      </c>
      <c r="C51" s="29" t="s">
        <v>163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3">
        <f>SUM(D51:T51)</f>
        <v>0</v>
      </c>
      <c r="V51"/>
      <c r="W51"/>
      <c r="X51"/>
      <c r="Y51"/>
      <c r="Z51"/>
      <c r="AA51"/>
    </row>
    <row r="52" spans="1:27">
      <c r="A52" s="27">
        <v>51</v>
      </c>
      <c r="B52" s="28">
        <v>46150</v>
      </c>
      <c r="C52" s="29" t="s">
        <v>164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3">
        <f>SUM(D52:T52)</f>
        <v>0</v>
      </c>
      <c r="V52"/>
      <c r="W52"/>
      <c r="X52"/>
      <c r="Y52"/>
      <c r="Z52"/>
      <c r="AA52"/>
    </row>
    <row r="53" spans="1:27">
      <c r="A53" s="27">
        <v>52</v>
      </c>
      <c r="B53" s="28">
        <v>46151</v>
      </c>
      <c r="C53" s="29" t="s">
        <v>124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3">
        <f>SUM(D53:T53)</f>
        <v>0</v>
      </c>
      <c r="V53"/>
      <c r="W53"/>
      <c r="X53"/>
      <c r="Y53"/>
      <c r="Z53"/>
      <c r="AA53"/>
    </row>
    <row r="54" spans="1:27">
      <c r="A54" s="27">
        <v>53</v>
      </c>
      <c r="B54" s="28">
        <v>46152</v>
      </c>
      <c r="C54" s="29" t="s">
        <v>165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3">
        <f>SUM(D54:T54)</f>
        <v>0</v>
      </c>
      <c r="V54"/>
      <c r="W54"/>
      <c r="X54"/>
      <c r="Y54"/>
      <c r="Z54"/>
      <c r="AA54"/>
    </row>
    <row r="55" spans="1:27">
      <c r="A55" s="27">
        <v>54</v>
      </c>
      <c r="B55" s="28">
        <v>46152</v>
      </c>
      <c r="C55" s="29" t="s">
        <v>166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3">
        <f>SUM(D55:T55)</f>
        <v>0</v>
      </c>
      <c r="V55"/>
      <c r="W55"/>
      <c r="X55"/>
      <c r="Y55"/>
      <c r="Z55"/>
      <c r="AA55"/>
    </row>
    <row r="56" spans="1:27">
      <c r="A56" s="27">
        <v>55</v>
      </c>
      <c r="B56" s="28">
        <v>46153</v>
      </c>
      <c r="C56" s="29" t="s">
        <v>167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3">
        <f>SUM(D56:T56)</f>
        <v>0</v>
      </c>
      <c r="V56"/>
      <c r="W56"/>
      <c r="X56"/>
      <c r="Y56"/>
      <c r="Z56"/>
      <c r="AA56"/>
    </row>
    <row r="57" spans="1:27">
      <c r="A57" s="27">
        <v>56</v>
      </c>
      <c r="B57" s="28">
        <v>46154</v>
      </c>
      <c r="C57" s="29" t="s">
        <v>168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3">
        <f>SUM(D57:T57)</f>
        <v>0</v>
      </c>
      <c r="V57"/>
      <c r="W57"/>
      <c r="X57"/>
      <c r="Y57"/>
      <c r="Z57"/>
      <c r="AA57"/>
    </row>
    <row r="58" spans="1:27">
      <c r="A58" s="27">
        <v>57</v>
      </c>
      <c r="B58" s="28">
        <v>46155</v>
      </c>
      <c r="C58" s="29" t="s">
        <v>169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3">
        <f>SUM(D58:T58)</f>
        <v>0</v>
      </c>
      <c r="V58"/>
      <c r="W58"/>
      <c r="X58"/>
      <c r="Y58"/>
      <c r="Z58"/>
      <c r="AA58"/>
    </row>
    <row r="59" spans="1:27">
      <c r="A59" s="27">
        <v>58</v>
      </c>
      <c r="B59" s="28">
        <v>46156</v>
      </c>
      <c r="C59" s="29" t="s">
        <v>170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3">
        <f>SUM(D59:T59)</f>
        <v>0</v>
      </c>
      <c r="V59"/>
      <c r="W59"/>
      <c r="X59"/>
      <c r="Y59"/>
      <c r="Z59"/>
      <c r="AA59"/>
    </row>
    <row r="60" spans="1:27">
      <c r="A60" s="27">
        <v>59</v>
      </c>
      <c r="B60" s="28">
        <v>46157</v>
      </c>
      <c r="C60" s="29" t="s">
        <v>171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3">
        <f>SUM(D60:T60)</f>
        <v>0</v>
      </c>
      <c r="V60"/>
      <c r="W60"/>
      <c r="X60"/>
      <c r="Y60"/>
      <c r="Z60"/>
      <c r="AA60"/>
    </row>
    <row r="61" spans="1:27">
      <c r="A61" s="27">
        <v>60</v>
      </c>
      <c r="B61" s="28">
        <v>46158</v>
      </c>
      <c r="C61" s="29" t="s">
        <v>172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33">
        <f>SUM(D61:T61)</f>
        <v>0</v>
      </c>
      <c r="V61"/>
      <c r="W61"/>
      <c r="X61"/>
      <c r="Y61"/>
      <c r="Z61"/>
      <c r="AA61"/>
    </row>
    <row r="62" spans="1:27">
      <c r="A62" s="27">
        <v>61</v>
      </c>
      <c r="B62" s="28">
        <v>46159</v>
      </c>
      <c r="C62" s="29" t="s">
        <v>173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33">
        <f>SUM(D62:T62)</f>
        <v>0</v>
      </c>
      <c r="V62"/>
      <c r="W62"/>
      <c r="X62"/>
      <c r="Y62"/>
      <c r="Z62"/>
      <c r="AA62"/>
    </row>
    <row r="63" spans="1:27">
      <c r="A63" s="27">
        <v>62</v>
      </c>
      <c r="B63" s="28">
        <v>46159</v>
      </c>
      <c r="C63" s="29" t="s">
        <v>174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3">
        <f>SUM(D63:T63)</f>
        <v>0</v>
      </c>
      <c r="V63"/>
      <c r="W63"/>
      <c r="X63"/>
      <c r="Y63"/>
      <c r="Z63"/>
      <c r="AA63"/>
    </row>
    <row r="64" spans="1:27">
      <c r="A64" s="27">
        <v>63</v>
      </c>
      <c r="B64" s="28">
        <v>46160</v>
      </c>
      <c r="C64" s="29" t="s">
        <v>175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3">
        <f>SUM(D64:T64)</f>
        <v>0</v>
      </c>
      <c r="V64"/>
      <c r="W64"/>
      <c r="X64"/>
      <c r="Y64"/>
      <c r="Z64"/>
      <c r="AA64"/>
    </row>
    <row r="65" spans="1:28">
      <c r="A65" s="27">
        <v>64</v>
      </c>
      <c r="B65" s="28">
        <v>46161</v>
      </c>
      <c r="C65" s="29" t="s">
        <v>176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3">
        <f>SUM(D65:T65)</f>
        <v>0</v>
      </c>
      <c r="V65"/>
      <c r="W65"/>
      <c r="X65"/>
      <c r="Y65"/>
      <c r="Z65"/>
      <c r="AA65"/>
    </row>
    <row r="66" spans="1:28">
      <c r="A66" s="27">
        <v>65</v>
      </c>
      <c r="B66" s="28">
        <v>46162</v>
      </c>
      <c r="C66" s="29" t="s">
        <v>117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3">
        <f>SUM(D66:T66)</f>
        <v>0</v>
      </c>
      <c r="V66"/>
      <c r="W66"/>
      <c r="X66"/>
      <c r="Y66"/>
      <c r="Z66"/>
      <c r="AA66"/>
    </row>
    <row r="67" spans="1:28">
      <c r="A67" s="27">
        <v>66</v>
      </c>
      <c r="B67" s="28">
        <v>46163</v>
      </c>
      <c r="C67" s="29" t="s">
        <v>177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3">
        <f>SUM(D67:T67)</f>
        <v>0</v>
      </c>
      <c r="V67"/>
      <c r="W67"/>
      <c r="X67"/>
      <c r="Y67"/>
      <c r="Z67"/>
      <c r="AA67"/>
    </row>
    <row r="68" spans="1:28">
      <c r="A68" s="27">
        <v>67</v>
      </c>
      <c r="B68" s="28">
        <v>46164</v>
      </c>
      <c r="C68" s="29" t="s">
        <v>116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3">
        <f>SUM(D68:T68)</f>
        <v>0</v>
      </c>
      <c r="V68"/>
      <c r="W68"/>
      <c r="X68"/>
      <c r="Y68"/>
      <c r="Z68"/>
      <c r="AA68"/>
    </row>
    <row r="69" spans="1:28">
      <c r="A69" s="27">
        <v>68</v>
      </c>
      <c r="B69" s="28">
        <v>46165</v>
      </c>
      <c r="C69" s="29" t="s">
        <v>178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3">
        <f>SUM(D69:T69)</f>
        <v>0</v>
      </c>
      <c r="V69"/>
      <c r="W69"/>
      <c r="X69"/>
      <c r="Y69"/>
      <c r="Z69"/>
      <c r="AA69"/>
    </row>
    <row r="70" spans="1:28">
      <c r="A70" s="27">
        <v>69</v>
      </c>
      <c r="B70" s="28">
        <v>46166</v>
      </c>
      <c r="C70" s="29" t="s">
        <v>179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3">
        <f>SUM(D70:T70)</f>
        <v>0</v>
      </c>
      <c r="V70"/>
      <c r="W70"/>
      <c r="X70"/>
      <c r="Y70"/>
      <c r="Z70"/>
      <c r="AA70"/>
    </row>
    <row r="71" spans="1:28">
      <c r="A71" s="41">
        <v>70</v>
      </c>
      <c r="B71" s="42">
        <v>46166</v>
      </c>
      <c r="C71" s="43" t="s">
        <v>180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5">
        <f>SUM(D71:T71)</f>
        <v>0</v>
      </c>
      <c r="V71"/>
      <c r="W71"/>
      <c r="X71"/>
      <c r="Y71"/>
      <c r="Z71"/>
      <c r="AA71"/>
    </row>
    <row r="72" spans="1:28">
      <c r="A72" s="41" t="s">
        <v>115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/>
      <c r="W72"/>
      <c r="X72"/>
      <c r="Y72"/>
      <c r="Z72"/>
      <c r="AA72"/>
      <c r="AB72"/>
    </row>
    <row r="73" spans="1:28">
      <c r="V73"/>
      <c r="W73"/>
      <c r="X73"/>
      <c r="Y73"/>
      <c r="Z73"/>
      <c r="AA73"/>
      <c r="AB73"/>
    </row>
    <row r="74" spans="1:28">
      <c r="V74"/>
      <c r="W74"/>
      <c r="X74"/>
      <c r="Y74"/>
      <c r="Z74"/>
      <c r="AA74"/>
      <c r="AB74"/>
    </row>
    <row r="75" spans="1:28">
      <c r="V75"/>
      <c r="W75"/>
      <c r="X75"/>
      <c r="Y75"/>
      <c r="Z75"/>
      <c r="AA75"/>
      <c r="AB75"/>
    </row>
    <row r="76" spans="1:28">
      <c r="V76"/>
      <c r="W76"/>
      <c r="X76"/>
      <c r="Y76"/>
      <c r="Z76"/>
      <c r="AA76"/>
      <c r="AB76"/>
    </row>
    <row r="77" spans="1:28">
      <c r="V77"/>
      <c r="W77"/>
      <c r="X77"/>
      <c r="Y77"/>
      <c r="Z77"/>
      <c r="AA77"/>
      <c r="AB77"/>
    </row>
    <row r="78" spans="1:28">
      <c r="V78"/>
      <c r="W78"/>
      <c r="X78"/>
      <c r="Y78"/>
      <c r="Z78"/>
      <c r="AA78"/>
      <c r="AB78"/>
    </row>
    <row r="79" spans="1:28">
      <c r="V79"/>
      <c r="W79"/>
      <c r="X79"/>
      <c r="Y79"/>
      <c r="Z79"/>
      <c r="AA79"/>
      <c r="AB79"/>
    </row>
    <row r="80" spans="1:28">
      <c r="V80"/>
      <c r="W80"/>
      <c r="X80"/>
      <c r="Y80"/>
      <c r="Z80"/>
      <c r="AA80"/>
      <c r="AB80"/>
    </row>
    <row r="81" spans="22:28">
      <c r="V81"/>
      <c r="W81"/>
      <c r="X81"/>
      <c r="Y81"/>
      <c r="Z81"/>
      <c r="AA81"/>
      <c r="AB81"/>
    </row>
    <row r="82" spans="22:28">
      <c r="V82"/>
      <c r="W82"/>
      <c r="X82"/>
      <c r="Y82"/>
      <c r="Z82"/>
      <c r="AA82"/>
      <c r="AB82"/>
    </row>
    <row r="83" spans="22:28">
      <c r="V83"/>
      <c r="W83"/>
      <c r="X83"/>
      <c r="Y83"/>
      <c r="Z83"/>
      <c r="AA83"/>
      <c r="AB83"/>
    </row>
    <row r="84" spans="22:28">
      <c r="V84"/>
      <c r="W84"/>
      <c r="X84"/>
      <c r="Y84"/>
      <c r="Z84"/>
      <c r="AA84"/>
      <c r="AB84"/>
    </row>
    <row r="85" spans="22:28">
      <c r="V85"/>
      <c r="W85"/>
      <c r="X85"/>
      <c r="Y85"/>
      <c r="Z85"/>
      <c r="AA85"/>
      <c r="AB85"/>
    </row>
    <row r="86" spans="22:28">
      <c r="V86"/>
      <c r="W86"/>
      <c r="X86"/>
      <c r="Y86"/>
      <c r="Z86"/>
      <c r="AA86"/>
      <c r="AB8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926C-872F-4383-A37A-CA7EA47E0CB6}">
  <dimension ref="A1:V77"/>
  <sheetViews>
    <sheetView showGridLines="0" workbookViewId="0">
      <selection activeCell="D11" sqref="D11"/>
    </sheetView>
  </sheetViews>
  <sheetFormatPr defaultRowHeight="15.75" customHeight="1"/>
  <cols>
    <col min="1" max="1" width="9.140625" bestFit="1" customWidth="1"/>
    <col min="2" max="2" width="10.28515625" bestFit="1" customWidth="1"/>
    <col min="3" max="3" width="11.7109375" bestFit="1" customWidth="1"/>
    <col min="4" max="4" width="20" customWidth="1"/>
    <col min="5" max="5" width="17" customWidth="1"/>
    <col min="6" max="6" width="18.5703125" customWidth="1"/>
    <col min="7" max="7" width="24" customWidth="1"/>
    <col min="8" max="8" width="23.7109375" customWidth="1"/>
    <col min="9" max="9" width="17.42578125" style="38" customWidth="1"/>
    <col min="10" max="10" width="15.140625" style="38" customWidth="1"/>
    <col min="11" max="11" width="21.42578125" style="38" customWidth="1"/>
    <col min="12" max="12" width="22" customWidth="1"/>
    <col min="13" max="13" width="9.140625" style="38"/>
    <col min="14" max="14" width="14.140625" style="38" customWidth="1"/>
    <col min="15" max="22" width="9.140625" style="38"/>
  </cols>
  <sheetData>
    <row r="1" spans="1:12" ht="15.75" customHeight="1">
      <c r="A1" s="15" t="s">
        <v>99</v>
      </c>
      <c r="B1" s="15" t="s">
        <v>1</v>
      </c>
      <c r="C1" s="15" t="s">
        <v>100</v>
      </c>
      <c r="D1" s="25" t="s">
        <v>181</v>
      </c>
      <c r="E1" s="25" t="s">
        <v>182</v>
      </c>
      <c r="F1" s="25" t="s">
        <v>183</v>
      </c>
      <c r="G1" s="25" t="s">
        <v>184</v>
      </c>
      <c r="H1" s="25" t="s">
        <v>185</v>
      </c>
      <c r="L1" s="40" t="s">
        <v>186</v>
      </c>
    </row>
    <row r="2" spans="1:12" ht="15.75" customHeight="1">
      <c r="A2" s="27">
        <v>1</v>
      </c>
      <c r="B2" s="28">
        <v>46109</v>
      </c>
      <c r="C2" s="29" t="s">
        <v>116</v>
      </c>
      <c r="D2" s="15" t="s">
        <v>101</v>
      </c>
      <c r="E2" s="31" t="s">
        <v>105</v>
      </c>
      <c r="F2" s="15" t="s">
        <v>109</v>
      </c>
      <c r="G2" s="15" t="s">
        <v>107</v>
      </c>
      <c r="H2" s="15" t="s">
        <v>113</v>
      </c>
      <c r="I2" s="39"/>
      <c r="L2" s="15" t="s">
        <v>101</v>
      </c>
    </row>
    <row r="3" spans="1:12" ht="15.75" customHeight="1">
      <c r="A3" s="27">
        <v>2</v>
      </c>
      <c r="B3" s="28">
        <v>46110</v>
      </c>
      <c r="C3" s="29" t="s">
        <v>117</v>
      </c>
      <c r="D3" s="31" t="s">
        <v>105</v>
      </c>
      <c r="E3" s="15" t="s">
        <v>106</v>
      </c>
      <c r="F3" s="15" t="s">
        <v>107</v>
      </c>
      <c r="G3" s="15" t="s">
        <v>108</v>
      </c>
      <c r="H3" s="15" t="s">
        <v>109</v>
      </c>
      <c r="I3" s="39"/>
      <c r="L3" s="15" t="s">
        <v>102</v>
      </c>
    </row>
    <row r="4" spans="1:12" ht="15.75" customHeight="1">
      <c r="A4" s="27">
        <v>3</v>
      </c>
      <c r="B4" s="28">
        <v>46111</v>
      </c>
      <c r="C4" s="29" t="s">
        <v>118</v>
      </c>
      <c r="D4" s="15" t="s">
        <v>110</v>
      </c>
      <c r="E4" s="15" t="s">
        <v>111</v>
      </c>
      <c r="F4" s="15" t="s">
        <v>112</v>
      </c>
      <c r="G4" s="15" t="s">
        <v>113</v>
      </c>
      <c r="H4" s="15" t="s">
        <v>114</v>
      </c>
      <c r="I4" s="39"/>
      <c r="L4" s="15" t="s">
        <v>103</v>
      </c>
    </row>
    <row r="5" spans="1:12" ht="15.75" customHeight="1">
      <c r="A5" s="27">
        <v>4</v>
      </c>
      <c r="B5" s="28">
        <v>46112</v>
      </c>
      <c r="C5" s="29" t="s">
        <v>119</v>
      </c>
      <c r="D5" s="15" t="s">
        <v>101</v>
      </c>
      <c r="E5" s="31" t="s">
        <v>105</v>
      </c>
      <c r="F5" s="15" t="s">
        <v>107</v>
      </c>
      <c r="G5" s="15" t="s">
        <v>108</v>
      </c>
      <c r="H5" s="15" t="s">
        <v>109</v>
      </c>
      <c r="I5" s="39"/>
      <c r="L5" s="31" t="s">
        <v>104</v>
      </c>
    </row>
    <row r="6" spans="1:12" ht="15.75" customHeight="1">
      <c r="A6" s="27">
        <v>5</v>
      </c>
      <c r="B6" s="28">
        <v>46113</v>
      </c>
      <c r="C6" s="29" t="s">
        <v>120</v>
      </c>
      <c r="D6" s="15" t="s">
        <v>107</v>
      </c>
      <c r="E6" s="15" t="s">
        <v>113</v>
      </c>
      <c r="F6" s="15" t="s">
        <v>110</v>
      </c>
      <c r="G6" s="15" t="s">
        <v>111</v>
      </c>
      <c r="H6" s="15" t="s">
        <v>112</v>
      </c>
      <c r="I6" s="39"/>
      <c r="L6" s="31" t="s">
        <v>105</v>
      </c>
    </row>
    <row r="7" spans="1:12" ht="15.75" customHeight="1">
      <c r="A7" s="27">
        <v>6</v>
      </c>
      <c r="B7" s="28">
        <v>46114</v>
      </c>
      <c r="C7" s="29" t="s">
        <v>121</v>
      </c>
      <c r="D7" s="26"/>
      <c r="E7" s="26"/>
      <c r="F7" s="26"/>
      <c r="G7" s="26"/>
      <c r="H7" s="37"/>
      <c r="I7" s="39"/>
      <c r="L7" s="15" t="s">
        <v>106</v>
      </c>
    </row>
    <row r="8" spans="1:12" ht="15.75" customHeight="1">
      <c r="A8" s="27">
        <v>7</v>
      </c>
      <c r="B8" s="28">
        <v>46115</v>
      </c>
      <c r="C8" s="29" t="s">
        <v>122</v>
      </c>
      <c r="D8" s="26"/>
      <c r="E8" s="26"/>
      <c r="F8" s="26"/>
      <c r="G8" s="26"/>
      <c r="H8" s="37"/>
      <c r="I8" s="39"/>
      <c r="L8" s="15" t="s">
        <v>107</v>
      </c>
    </row>
    <row r="9" spans="1:12" ht="15.75" customHeight="1">
      <c r="A9" s="27">
        <v>8</v>
      </c>
      <c r="B9" s="28">
        <v>46116</v>
      </c>
      <c r="C9" s="29" t="s">
        <v>123</v>
      </c>
      <c r="D9" s="26"/>
      <c r="E9" s="26"/>
      <c r="F9" s="26"/>
      <c r="G9" s="26"/>
      <c r="H9" s="37"/>
      <c r="I9" s="39"/>
      <c r="L9" s="15" t="s">
        <v>108</v>
      </c>
    </row>
    <row r="10" spans="1:12" ht="15.75" customHeight="1">
      <c r="A10" s="27">
        <v>9</v>
      </c>
      <c r="B10" s="28">
        <v>46116</v>
      </c>
      <c r="C10" s="29" t="s">
        <v>124</v>
      </c>
      <c r="D10" s="26"/>
      <c r="E10" s="26"/>
      <c r="F10" s="26"/>
      <c r="G10" s="26"/>
      <c r="H10" s="37"/>
      <c r="I10" s="39"/>
      <c r="L10" s="15" t="s">
        <v>109</v>
      </c>
    </row>
    <row r="11" spans="1:12" ht="15.75" customHeight="1">
      <c r="A11" s="27">
        <v>10</v>
      </c>
      <c r="B11" s="28">
        <v>46117</v>
      </c>
      <c r="C11" s="29" t="s">
        <v>125</v>
      </c>
      <c r="D11" s="26"/>
      <c r="E11" s="26"/>
      <c r="F11" s="26"/>
      <c r="G11" s="26"/>
      <c r="H11" s="37"/>
      <c r="I11" s="39"/>
      <c r="L11" s="15" t="s">
        <v>110</v>
      </c>
    </row>
    <row r="12" spans="1:12" ht="15.75" customHeight="1">
      <c r="A12" s="27">
        <v>11</v>
      </c>
      <c r="B12" s="28">
        <v>46117</v>
      </c>
      <c r="C12" s="29" t="s">
        <v>126</v>
      </c>
      <c r="D12" s="37"/>
      <c r="E12" s="37"/>
      <c r="F12" s="37"/>
      <c r="G12" s="37"/>
      <c r="H12" s="26"/>
      <c r="I12" s="39"/>
      <c r="L12" s="15" t="s">
        <v>111</v>
      </c>
    </row>
    <row r="13" spans="1:12" ht="15.75" customHeight="1">
      <c r="A13" s="27">
        <v>12</v>
      </c>
      <c r="B13" s="28">
        <v>46118</v>
      </c>
      <c r="C13" s="29" t="s">
        <v>127</v>
      </c>
      <c r="D13" s="37"/>
      <c r="E13" s="37"/>
      <c r="F13" s="37"/>
      <c r="G13" s="37"/>
      <c r="H13" s="37"/>
      <c r="I13" s="39"/>
      <c r="L13" s="15" t="s">
        <v>112</v>
      </c>
    </row>
    <row r="14" spans="1:12" ht="15.75" customHeight="1">
      <c r="A14" s="27">
        <v>13</v>
      </c>
      <c r="B14" s="28">
        <v>46119</v>
      </c>
      <c r="C14" s="29" t="s">
        <v>128</v>
      </c>
      <c r="D14" s="37"/>
      <c r="E14" s="37"/>
      <c r="F14" s="37"/>
      <c r="G14" s="37"/>
      <c r="H14" s="37"/>
      <c r="I14" s="39"/>
      <c r="L14" s="15" t="s">
        <v>113</v>
      </c>
    </row>
    <row r="15" spans="1:12" ht="15.75" customHeight="1">
      <c r="A15" s="27">
        <v>14</v>
      </c>
      <c r="B15" s="28">
        <v>46120</v>
      </c>
      <c r="C15" s="29" t="s">
        <v>129</v>
      </c>
      <c r="D15" s="36"/>
      <c r="E15" s="36"/>
      <c r="F15" s="36"/>
      <c r="G15" s="36"/>
      <c r="H15" s="36"/>
      <c r="L15" s="15" t="s">
        <v>114</v>
      </c>
    </row>
    <row r="16" spans="1:12" ht="15.75" customHeight="1">
      <c r="A16" s="27">
        <v>15</v>
      </c>
      <c r="B16" s="28">
        <v>46121</v>
      </c>
      <c r="C16" s="29" t="s">
        <v>130</v>
      </c>
      <c r="D16" s="36"/>
      <c r="E16" s="36"/>
      <c r="F16" s="36"/>
      <c r="G16" s="36"/>
      <c r="H16" s="36"/>
      <c r="L16" s="38"/>
    </row>
    <row r="17" spans="1:12" ht="15.75" customHeight="1">
      <c r="A17" s="27">
        <v>16</v>
      </c>
      <c r="B17" s="28">
        <v>46122</v>
      </c>
      <c r="C17" s="29" t="s">
        <v>131</v>
      </c>
      <c r="D17" s="36"/>
      <c r="E17" s="36"/>
      <c r="F17" s="36"/>
      <c r="G17" s="36"/>
      <c r="H17" s="36"/>
      <c r="L17" s="38"/>
    </row>
    <row r="18" spans="1:12" ht="15.75" customHeight="1">
      <c r="A18" s="27">
        <v>17</v>
      </c>
      <c r="B18" s="28">
        <v>46123</v>
      </c>
      <c r="C18" s="29" t="s">
        <v>132</v>
      </c>
      <c r="D18" s="36"/>
      <c r="E18" s="36"/>
      <c r="F18" s="36"/>
      <c r="G18" s="36"/>
      <c r="H18" s="36"/>
      <c r="L18" s="38"/>
    </row>
    <row r="19" spans="1:12" ht="15.75" customHeight="1">
      <c r="A19" s="27">
        <v>18</v>
      </c>
      <c r="B19" s="28">
        <v>46123</v>
      </c>
      <c r="C19" s="29" t="s">
        <v>133</v>
      </c>
      <c r="D19" s="36"/>
      <c r="E19" s="36"/>
      <c r="F19" s="36"/>
      <c r="G19" s="36"/>
      <c r="H19" s="36"/>
      <c r="L19" s="38"/>
    </row>
    <row r="20" spans="1:12" ht="15.75" customHeight="1">
      <c r="A20" s="27">
        <v>19</v>
      </c>
      <c r="B20" s="28">
        <v>46124</v>
      </c>
      <c r="C20" s="29" t="s">
        <v>134</v>
      </c>
      <c r="D20" s="36"/>
      <c r="E20" s="36"/>
      <c r="F20" s="36"/>
      <c r="G20" s="36"/>
      <c r="H20" s="36"/>
      <c r="L20" s="38"/>
    </row>
    <row r="21" spans="1:12" ht="15.75" customHeight="1">
      <c r="A21" s="27">
        <v>20</v>
      </c>
      <c r="B21" s="28">
        <v>46124</v>
      </c>
      <c r="C21" s="29" t="s">
        <v>135</v>
      </c>
      <c r="D21" s="36"/>
      <c r="E21" s="36"/>
      <c r="F21" s="36"/>
      <c r="G21" s="36"/>
      <c r="H21" s="36"/>
      <c r="L21" s="38"/>
    </row>
    <row r="22" spans="1:12" ht="15.75" customHeight="1">
      <c r="A22" s="27">
        <v>21</v>
      </c>
      <c r="B22" s="28">
        <v>46125</v>
      </c>
      <c r="C22" s="29" t="s">
        <v>136</v>
      </c>
      <c r="D22" s="36"/>
      <c r="E22" s="36"/>
      <c r="F22" s="36"/>
      <c r="G22" s="36"/>
      <c r="H22" s="36"/>
      <c r="L22" s="38"/>
    </row>
    <row r="23" spans="1:12" ht="15.75" customHeight="1">
      <c r="A23" s="27">
        <v>22</v>
      </c>
      <c r="B23" s="28">
        <v>46126</v>
      </c>
      <c r="C23" s="29" t="s">
        <v>137</v>
      </c>
      <c r="D23" s="36"/>
      <c r="E23" s="36"/>
      <c r="F23" s="36"/>
      <c r="G23" s="36"/>
      <c r="H23" s="36"/>
      <c r="L23" s="38"/>
    </row>
    <row r="24" spans="1:12" ht="15.75" customHeight="1">
      <c r="A24" s="27">
        <v>23</v>
      </c>
      <c r="B24" s="28">
        <v>46127</v>
      </c>
      <c r="C24" s="29" t="s">
        <v>138</v>
      </c>
      <c r="D24" s="36"/>
      <c r="E24" s="36"/>
      <c r="F24" s="36"/>
      <c r="G24" s="36"/>
      <c r="H24" s="36"/>
      <c r="L24" s="38"/>
    </row>
    <row r="25" spans="1:12" ht="15.75" customHeight="1">
      <c r="A25" s="27">
        <v>24</v>
      </c>
      <c r="B25" s="28">
        <v>46128</v>
      </c>
      <c r="C25" s="29" t="s">
        <v>139</v>
      </c>
      <c r="D25" s="36"/>
      <c r="E25" s="36"/>
      <c r="F25" s="36"/>
      <c r="G25" s="36"/>
      <c r="H25" s="36"/>
      <c r="L25" s="38"/>
    </row>
    <row r="26" spans="1:12" ht="15.75" customHeight="1">
      <c r="A26" s="27">
        <v>25</v>
      </c>
      <c r="B26" s="28">
        <v>46129</v>
      </c>
      <c r="C26" s="29" t="s">
        <v>140</v>
      </c>
      <c r="D26" s="36"/>
      <c r="E26" s="36"/>
      <c r="F26" s="36"/>
      <c r="G26" s="36"/>
      <c r="H26" s="36"/>
      <c r="L26" s="38"/>
    </row>
    <row r="27" spans="1:12" ht="15.75" customHeight="1">
      <c r="A27" s="27">
        <v>26</v>
      </c>
      <c r="B27" s="28">
        <v>46130</v>
      </c>
      <c r="C27" s="29" t="s">
        <v>141</v>
      </c>
      <c r="D27" s="36"/>
      <c r="E27" s="36"/>
      <c r="F27" s="36"/>
      <c r="G27" s="36"/>
      <c r="H27" s="36"/>
      <c r="L27" s="38"/>
    </row>
    <row r="28" spans="1:12" ht="15.75" customHeight="1">
      <c r="A28" s="27">
        <v>27</v>
      </c>
      <c r="B28" s="28">
        <v>46130</v>
      </c>
      <c r="C28" s="29" t="s">
        <v>142</v>
      </c>
      <c r="D28" s="36"/>
      <c r="E28" s="36"/>
      <c r="F28" s="36"/>
      <c r="G28" s="36"/>
      <c r="H28" s="36"/>
      <c r="L28" s="38"/>
    </row>
    <row r="29" spans="1:12" ht="15.75" customHeight="1">
      <c r="A29" s="27">
        <v>28</v>
      </c>
      <c r="B29" s="28">
        <v>46131</v>
      </c>
      <c r="C29" s="29" t="s">
        <v>143</v>
      </c>
      <c r="D29" s="36"/>
      <c r="E29" s="36"/>
      <c r="F29" s="36"/>
      <c r="G29" s="36"/>
      <c r="H29" s="36"/>
      <c r="L29" s="38"/>
    </row>
    <row r="30" spans="1:12" ht="15.75" customHeight="1">
      <c r="A30" s="27">
        <v>29</v>
      </c>
      <c r="B30" s="28">
        <v>46131</v>
      </c>
      <c r="C30" s="29" t="s">
        <v>144</v>
      </c>
      <c r="D30" s="36"/>
      <c r="E30" s="36"/>
      <c r="F30" s="36"/>
      <c r="G30" s="36"/>
      <c r="H30" s="36"/>
      <c r="L30" s="38"/>
    </row>
    <row r="31" spans="1:12" ht="15.75" customHeight="1">
      <c r="A31" s="27">
        <v>30</v>
      </c>
      <c r="B31" s="28">
        <v>46132</v>
      </c>
      <c r="C31" s="29" t="s">
        <v>145</v>
      </c>
      <c r="D31" s="36"/>
      <c r="E31" s="36"/>
      <c r="F31" s="36"/>
      <c r="G31" s="36"/>
      <c r="H31" s="36"/>
      <c r="L31" s="38"/>
    </row>
    <row r="32" spans="1:12" ht="15.75" customHeight="1">
      <c r="A32" s="27">
        <v>31</v>
      </c>
      <c r="B32" s="28">
        <v>46133</v>
      </c>
      <c r="C32" s="29" t="s">
        <v>146</v>
      </c>
      <c r="D32" s="36"/>
      <c r="E32" s="36"/>
      <c r="F32" s="36"/>
      <c r="G32" s="36"/>
      <c r="H32" s="36"/>
      <c r="L32" s="38"/>
    </row>
    <row r="33" spans="1:12" ht="15.75" customHeight="1">
      <c r="A33" s="27">
        <v>32</v>
      </c>
      <c r="B33" s="28">
        <v>46134</v>
      </c>
      <c r="C33" s="29" t="s">
        <v>147</v>
      </c>
      <c r="D33" s="36"/>
      <c r="E33" s="36"/>
      <c r="F33" s="36"/>
      <c r="G33" s="36"/>
      <c r="H33" s="36"/>
      <c r="L33" s="38"/>
    </row>
    <row r="34" spans="1:12" ht="15.75" customHeight="1">
      <c r="A34" s="27">
        <v>33</v>
      </c>
      <c r="B34" s="28">
        <v>46135</v>
      </c>
      <c r="C34" s="29" t="s">
        <v>148</v>
      </c>
      <c r="D34" s="36"/>
      <c r="E34" s="36"/>
      <c r="F34" s="36"/>
      <c r="G34" s="36"/>
      <c r="H34" s="36"/>
      <c r="L34" s="38"/>
    </row>
    <row r="35" spans="1:12" ht="15.75" customHeight="1">
      <c r="A35" s="27">
        <v>34</v>
      </c>
      <c r="B35" s="28">
        <v>46136</v>
      </c>
      <c r="C35" s="29" t="s">
        <v>149</v>
      </c>
      <c r="D35" s="36"/>
      <c r="E35" s="36"/>
      <c r="F35" s="36"/>
      <c r="G35" s="36"/>
      <c r="H35" s="36"/>
      <c r="L35" s="38"/>
    </row>
    <row r="36" spans="1:12" ht="15.75" customHeight="1">
      <c r="A36" s="27">
        <v>35</v>
      </c>
      <c r="B36" s="28">
        <v>46137</v>
      </c>
      <c r="C36" s="29" t="s">
        <v>150</v>
      </c>
      <c r="D36" s="36"/>
      <c r="E36" s="36"/>
      <c r="F36" s="36"/>
      <c r="G36" s="36"/>
      <c r="H36" s="36"/>
      <c r="L36" s="38"/>
    </row>
    <row r="37" spans="1:12" ht="15.75" customHeight="1">
      <c r="A37" s="27">
        <v>36</v>
      </c>
      <c r="B37" s="28">
        <v>46137</v>
      </c>
      <c r="C37" s="29" t="s">
        <v>151</v>
      </c>
      <c r="D37" s="36"/>
      <c r="E37" s="36"/>
      <c r="F37" s="36"/>
      <c r="G37" s="36"/>
      <c r="H37" s="36"/>
      <c r="L37" s="38"/>
    </row>
    <row r="38" spans="1:12" ht="15.75" customHeight="1">
      <c r="A38" s="27">
        <v>37</v>
      </c>
      <c r="B38" s="28">
        <v>46138</v>
      </c>
      <c r="C38" s="29" t="s">
        <v>152</v>
      </c>
      <c r="D38" s="36"/>
      <c r="E38" s="36"/>
      <c r="F38" s="36"/>
      <c r="G38" s="36"/>
      <c r="H38" s="36"/>
      <c r="L38" s="38"/>
    </row>
    <row r="39" spans="1:12" ht="15.75" customHeight="1">
      <c r="A39" s="27">
        <v>38</v>
      </c>
      <c r="B39" s="28">
        <v>46138</v>
      </c>
      <c r="C39" s="29" t="s">
        <v>153</v>
      </c>
      <c r="D39" s="36"/>
      <c r="E39" s="36"/>
      <c r="F39" s="36"/>
      <c r="G39" s="36"/>
      <c r="H39" s="36"/>
      <c r="L39" s="38"/>
    </row>
    <row r="40" spans="1:12" ht="15.75" customHeight="1">
      <c r="A40" s="27">
        <v>39</v>
      </c>
      <c r="B40" s="28">
        <v>46139</v>
      </c>
      <c r="C40" s="29" t="s">
        <v>154</v>
      </c>
      <c r="D40" s="36"/>
      <c r="E40" s="36"/>
      <c r="F40" s="36"/>
      <c r="G40" s="36"/>
      <c r="H40" s="36"/>
      <c r="L40" s="38"/>
    </row>
    <row r="41" spans="1:12" ht="15.75" customHeight="1">
      <c r="A41" s="27">
        <v>40</v>
      </c>
      <c r="B41" s="28">
        <v>46140</v>
      </c>
      <c r="C41" s="29" t="s">
        <v>155</v>
      </c>
      <c r="D41" s="36"/>
      <c r="E41" s="36"/>
      <c r="F41" s="36"/>
      <c r="G41" s="36"/>
      <c r="H41" s="36"/>
      <c r="L41" s="38"/>
    </row>
    <row r="42" spans="1:12" ht="15.75" customHeight="1">
      <c r="A42" s="27">
        <v>41</v>
      </c>
      <c r="B42" s="28">
        <v>46141</v>
      </c>
      <c r="C42" s="29" t="s">
        <v>156</v>
      </c>
      <c r="D42" s="36"/>
      <c r="E42" s="36"/>
      <c r="F42" s="36"/>
      <c r="G42" s="36"/>
      <c r="H42" s="36"/>
      <c r="L42" s="38"/>
    </row>
    <row r="43" spans="1:12" ht="15.75" customHeight="1">
      <c r="A43" s="27">
        <v>42</v>
      </c>
      <c r="B43" s="28">
        <v>46142</v>
      </c>
      <c r="C43" s="29" t="s">
        <v>157</v>
      </c>
      <c r="D43" s="36"/>
      <c r="E43" s="36"/>
      <c r="F43" s="36"/>
      <c r="G43" s="36"/>
      <c r="H43" s="36"/>
      <c r="L43" s="38"/>
    </row>
    <row r="44" spans="1:12" ht="15.75" customHeight="1">
      <c r="A44" s="27">
        <v>43</v>
      </c>
      <c r="B44" s="28">
        <v>46143</v>
      </c>
      <c r="C44" s="29" t="s">
        <v>158</v>
      </c>
      <c r="D44" s="36"/>
      <c r="E44" s="36"/>
      <c r="F44" s="36"/>
      <c r="G44" s="36"/>
      <c r="H44" s="36"/>
      <c r="L44" s="38"/>
    </row>
    <row r="45" spans="1:12" ht="15.75" customHeight="1">
      <c r="A45" s="27">
        <v>44</v>
      </c>
      <c r="B45" s="28">
        <v>46144</v>
      </c>
      <c r="C45" s="29" t="s">
        <v>159</v>
      </c>
      <c r="D45" s="36"/>
      <c r="E45" s="36"/>
      <c r="F45" s="36"/>
      <c r="G45" s="36"/>
      <c r="H45" s="36"/>
      <c r="L45" s="38"/>
    </row>
    <row r="46" spans="1:12" ht="15.75" customHeight="1">
      <c r="A46" s="27">
        <v>45</v>
      </c>
      <c r="B46" s="28">
        <v>46145</v>
      </c>
      <c r="C46" s="29" t="s">
        <v>121</v>
      </c>
      <c r="D46" s="36"/>
      <c r="E46" s="36"/>
      <c r="F46" s="36"/>
      <c r="G46" s="36"/>
      <c r="H46" s="36"/>
      <c r="L46" s="38"/>
    </row>
    <row r="47" spans="1:12" ht="15.75" customHeight="1">
      <c r="A47" s="27">
        <v>46</v>
      </c>
      <c r="B47" s="28">
        <v>46145</v>
      </c>
      <c r="C47" s="29" t="s">
        <v>119</v>
      </c>
      <c r="D47" s="36"/>
      <c r="E47" s="36"/>
      <c r="F47" s="36"/>
      <c r="G47" s="36"/>
      <c r="H47" s="36"/>
      <c r="L47" s="38"/>
    </row>
    <row r="48" spans="1:12" ht="15.75" customHeight="1">
      <c r="A48" s="27">
        <v>47</v>
      </c>
      <c r="B48" s="28">
        <v>46146</v>
      </c>
      <c r="C48" s="29" t="s">
        <v>160</v>
      </c>
      <c r="D48" s="36"/>
      <c r="E48" s="36"/>
      <c r="F48" s="36"/>
      <c r="G48" s="36"/>
      <c r="H48" s="36"/>
      <c r="L48" s="38"/>
    </row>
    <row r="49" spans="1:12" ht="15.75" customHeight="1">
      <c r="A49" s="27">
        <v>48</v>
      </c>
      <c r="B49" s="28">
        <v>46147</v>
      </c>
      <c r="C49" s="29" t="s">
        <v>161</v>
      </c>
      <c r="D49" s="36"/>
      <c r="E49" s="36"/>
      <c r="F49" s="36"/>
      <c r="G49" s="36"/>
      <c r="H49" s="36"/>
      <c r="L49" s="38"/>
    </row>
    <row r="50" spans="1:12" ht="15.75" customHeight="1">
      <c r="A50" s="27">
        <v>49</v>
      </c>
      <c r="B50" s="28">
        <v>46148</v>
      </c>
      <c r="C50" s="29" t="s">
        <v>162</v>
      </c>
      <c r="D50" s="36"/>
      <c r="E50" s="36"/>
      <c r="F50" s="36"/>
      <c r="G50" s="36"/>
      <c r="H50" s="36"/>
      <c r="L50" s="38"/>
    </row>
    <row r="51" spans="1:12" ht="15.75" customHeight="1">
      <c r="A51" s="27">
        <v>50</v>
      </c>
      <c r="B51" s="28">
        <v>46149</v>
      </c>
      <c r="C51" s="29" t="s">
        <v>163</v>
      </c>
      <c r="D51" s="36"/>
      <c r="E51" s="36"/>
      <c r="F51" s="36"/>
      <c r="G51" s="36"/>
      <c r="H51" s="36"/>
      <c r="L51" s="38"/>
    </row>
    <row r="52" spans="1:12" ht="15.75" customHeight="1">
      <c r="A52" s="27">
        <v>51</v>
      </c>
      <c r="B52" s="28">
        <v>46150</v>
      </c>
      <c r="C52" s="29" t="s">
        <v>164</v>
      </c>
      <c r="D52" s="36"/>
      <c r="E52" s="36"/>
      <c r="F52" s="36"/>
      <c r="G52" s="36"/>
      <c r="H52" s="36"/>
      <c r="L52" s="38"/>
    </row>
    <row r="53" spans="1:12" ht="15.75" customHeight="1">
      <c r="A53" s="27">
        <v>52</v>
      </c>
      <c r="B53" s="28">
        <v>46151</v>
      </c>
      <c r="C53" s="29" t="s">
        <v>124</v>
      </c>
      <c r="D53" s="36"/>
      <c r="E53" s="36"/>
      <c r="F53" s="36"/>
      <c r="G53" s="36"/>
      <c r="H53" s="36"/>
      <c r="L53" s="38"/>
    </row>
    <row r="54" spans="1:12" ht="15.75" customHeight="1">
      <c r="A54" s="27">
        <v>53</v>
      </c>
      <c r="B54" s="28">
        <v>46152</v>
      </c>
      <c r="C54" s="29" t="s">
        <v>165</v>
      </c>
      <c r="D54" s="36"/>
      <c r="E54" s="36"/>
      <c r="F54" s="36"/>
      <c r="G54" s="36"/>
      <c r="H54" s="36"/>
      <c r="L54" s="38"/>
    </row>
    <row r="55" spans="1:12" ht="15.75" customHeight="1">
      <c r="A55" s="27">
        <v>54</v>
      </c>
      <c r="B55" s="28">
        <v>46152</v>
      </c>
      <c r="C55" s="29" t="s">
        <v>166</v>
      </c>
      <c r="D55" s="36"/>
      <c r="E55" s="36"/>
      <c r="F55" s="36"/>
      <c r="G55" s="36"/>
      <c r="H55" s="36"/>
      <c r="L55" s="38"/>
    </row>
    <row r="56" spans="1:12" ht="15.75" customHeight="1">
      <c r="A56" s="27">
        <v>55</v>
      </c>
      <c r="B56" s="28">
        <v>46153</v>
      </c>
      <c r="C56" s="29" t="s">
        <v>167</v>
      </c>
      <c r="D56" s="36"/>
      <c r="E56" s="36"/>
      <c r="F56" s="36"/>
      <c r="G56" s="36"/>
      <c r="H56" s="36"/>
      <c r="L56" s="38"/>
    </row>
    <row r="57" spans="1:12" ht="15.75" customHeight="1">
      <c r="A57" s="27">
        <v>56</v>
      </c>
      <c r="B57" s="28">
        <v>46154</v>
      </c>
      <c r="C57" s="29" t="s">
        <v>168</v>
      </c>
      <c r="D57" s="36"/>
      <c r="E57" s="36"/>
      <c r="F57" s="36"/>
      <c r="G57" s="36"/>
      <c r="H57" s="36"/>
      <c r="L57" s="38"/>
    </row>
    <row r="58" spans="1:12" ht="15.75" customHeight="1">
      <c r="A58" s="27">
        <v>57</v>
      </c>
      <c r="B58" s="28">
        <v>46155</v>
      </c>
      <c r="C58" s="29" t="s">
        <v>169</v>
      </c>
      <c r="D58" s="36"/>
      <c r="E58" s="36"/>
      <c r="F58" s="36"/>
      <c r="G58" s="36"/>
      <c r="H58" s="36"/>
      <c r="L58" s="38"/>
    </row>
    <row r="59" spans="1:12" ht="15.75" customHeight="1">
      <c r="A59" s="27">
        <v>58</v>
      </c>
      <c r="B59" s="28">
        <v>46156</v>
      </c>
      <c r="C59" s="29" t="s">
        <v>170</v>
      </c>
      <c r="D59" s="36"/>
      <c r="E59" s="36"/>
      <c r="F59" s="36"/>
      <c r="G59" s="36"/>
      <c r="H59" s="36"/>
      <c r="L59" s="38"/>
    </row>
    <row r="60" spans="1:12" ht="15.75" customHeight="1">
      <c r="A60" s="27">
        <v>59</v>
      </c>
      <c r="B60" s="28">
        <v>46157</v>
      </c>
      <c r="C60" s="29" t="s">
        <v>171</v>
      </c>
      <c r="D60" s="36"/>
      <c r="E60" s="36"/>
      <c r="F60" s="36"/>
      <c r="G60" s="36"/>
      <c r="H60" s="36"/>
      <c r="L60" s="38"/>
    </row>
    <row r="61" spans="1:12" ht="15.75" customHeight="1">
      <c r="A61" s="27">
        <v>60</v>
      </c>
      <c r="B61" s="28">
        <v>46158</v>
      </c>
      <c r="C61" s="29" t="s">
        <v>172</v>
      </c>
      <c r="D61" s="36"/>
      <c r="E61" s="36"/>
      <c r="F61" s="36"/>
      <c r="G61" s="36"/>
      <c r="H61" s="36"/>
      <c r="L61" s="38"/>
    </row>
    <row r="62" spans="1:12" ht="15.75" customHeight="1">
      <c r="A62" s="27">
        <v>61</v>
      </c>
      <c r="B62" s="28">
        <v>46159</v>
      </c>
      <c r="C62" s="29" t="s">
        <v>173</v>
      </c>
      <c r="D62" s="36"/>
      <c r="E62" s="36"/>
      <c r="F62" s="36"/>
      <c r="G62" s="36"/>
      <c r="H62" s="36"/>
      <c r="L62" s="38"/>
    </row>
    <row r="63" spans="1:12" ht="15.75" customHeight="1">
      <c r="A63" s="27">
        <v>62</v>
      </c>
      <c r="B63" s="28">
        <v>46159</v>
      </c>
      <c r="C63" s="29" t="s">
        <v>174</v>
      </c>
      <c r="D63" s="36"/>
      <c r="E63" s="36"/>
      <c r="F63" s="36"/>
      <c r="G63" s="36"/>
      <c r="H63" s="36"/>
      <c r="L63" s="38"/>
    </row>
    <row r="64" spans="1:12" ht="15.75" customHeight="1">
      <c r="A64" s="27">
        <v>63</v>
      </c>
      <c r="B64" s="28">
        <v>46160</v>
      </c>
      <c r="C64" s="29" t="s">
        <v>175</v>
      </c>
      <c r="D64" s="36"/>
      <c r="E64" s="36"/>
      <c r="F64" s="36"/>
      <c r="G64" s="36"/>
      <c r="H64" s="36"/>
      <c r="L64" s="38"/>
    </row>
    <row r="65" spans="1:12" ht="15.75" customHeight="1">
      <c r="A65" s="27">
        <v>64</v>
      </c>
      <c r="B65" s="28">
        <v>46161</v>
      </c>
      <c r="C65" s="29" t="s">
        <v>176</v>
      </c>
      <c r="D65" s="36"/>
      <c r="E65" s="36"/>
      <c r="F65" s="36"/>
      <c r="G65" s="36"/>
      <c r="H65" s="36"/>
      <c r="L65" s="38"/>
    </row>
    <row r="66" spans="1:12" ht="15.75" customHeight="1">
      <c r="A66" s="27">
        <v>65</v>
      </c>
      <c r="B66" s="28">
        <v>46162</v>
      </c>
      <c r="C66" s="29" t="s">
        <v>117</v>
      </c>
      <c r="D66" s="36"/>
      <c r="E66" s="36"/>
      <c r="F66" s="36"/>
      <c r="G66" s="36"/>
      <c r="H66" s="36"/>
      <c r="L66" s="38"/>
    </row>
    <row r="67" spans="1:12" ht="15.75" customHeight="1">
      <c r="A67" s="27">
        <v>66</v>
      </c>
      <c r="B67" s="28">
        <v>46163</v>
      </c>
      <c r="C67" s="29" t="s">
        <v>177</v>
      </c>
      <c r="D67" s="36"/>
      <c r="E67" s="36"/>
      <c r="F67" s="36"/>
      <c r="G67" s="36"/>
      <c r="H67" s="36"/>
      <c r="L67" s="38"/>
    </row>
    <row r="68" spans="1:12" ht="15.75" customHeight="1">
      <c r="A68" s="27">
        <v>67</v>
      </c>
      <c r="B68" s="28">
        <v>46164</v>
      </c>
      <c r="C68" s="29" t="s">
        <v>116</v>
      </c>
      <c r="D68" s="36"/>
      <c r="E68" s="36"/>
      <c r="F68" s="36"/>
      <c r="G68" s="36"/>
      <c r="H68" s="36"/>
      <c r="L68" s="38"/>
    </row>
    <row r="69" spans="1:12" ht="15.75" customHeight="1">
      <c r="A69" s="27">
        <v>68</v>
      </c>
      <c r="B69" s="28">
        <v>46165</v>
      </c>
      <c r="C69" s="29" t="s">
        <v>178</v>
      </c>
      <c r="D69" s="36"/>
      <c r="E69" s="36"/>
      <c r="F69" s="36"/>
      <c r="G69" s="36"/>
      <c r="H69" s="36"/>
      <c r="L69" s="38"/>
    </row>
    <row r="70" spans="1:12" ht="15.75" customHeight="1">
      <c r="A70" s="27">
        <v>69</v>
      </c>
      <c r="B70" s="28">
        <v>46166</v>
      </c>
      <c r="C70" s="29" t="s">
        <v>179</v>
      </c>
      <c r="D70" s="36"/>
      <c r="E70" s="36"/>
      <c r="F70" s="36"/>
      <c r="G70" s="36"/>
      <c r="H70" s="36"/>
      <c r="L70" s="38"/>
    </row>
    <row r="71" spans="1:12" ht="15.75" customHeight="1">
      <c r="A71" s="27">
        <v>70</v>
      </c>
      <c r="B71" s="28">
        <v>46166</v>
      </c>
      <c r="C71" s="29" t="s">
        <v>180</v>
      </c>
      <c r="D71" s="36"/>
      <c r="E71" s="36"/>
      <c r="F71" s="36"/>
      <c r="G71" s="36"/>
      <c r="H71" s="36"/>
      <c r="L71" s="38"/>
    </row>
    <row r="72" spans="1:12" ht="15.75" customHeight="1">
      <c r="A72" s="34" t="s">
        <v>115</v>
      </c>
      <c r="B72" s="34"/>
      <c r="C72" s="34"/>
      <c r="D72" s="36"/>
      <c r="E72" s="36"/>
      <c r="F72" s="36"/>
      <c r="G72" s="36"/>
      <c r="H72" s="36"/>
      <c r="L72" s="38"/>
    </row>
    <row r="73" spans="1:12" ht="15.75" customHeight="1">
      <c r="L73" s="38"/>
    </row>
    <row r="74" spans="1:12" ht="15.75" customHeight="1">
      <c r="L74" s="38"/>
    </row>
    <row r="75" spans="1:12" ht="15.75" customHeight="1">
      <c r="L75" s="38"/>
    </row>
    <row r="76" spans="1:12" ht="15.75" customHeight="1">
      <c r="L76" s="38"/>
    </row>
    <row r="77" spans="1:12" ht="15.75" customHeight="1">
      <c r="L77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E726-6949-470F-BCBA-E005E2428EA1}">
  <dimension ref="A1:R86"/>
  <sheetViews>
    <sheetView workbookViewId="0">
      <selection activeCell="C1" sqref="C1"/>
    </sheetView>
  </sheetViews>
  <sheetFormatPr defaultRowHeight="15" customHeight="1"/>
  <cols>
    <col min="1" max="1" width="8.7109375" bestFit="1" customWidth="1"/>
    <col min="2" max="2" width="11.5703125" customWidth="1"/>
    <col min="3" max="5" width="13.140625" bestFit="1" customWidth="1"/>
    <col min="6" max="6" width="9" bestFit="1" customWidth="1"/>
    <col min="7" max="7" width="10.28515625" bestFit="1" customWidth="1"/>
    <col min="8" max="8" width="10.140625" bestFit="1" customWidth="1"/>
    <col min="9" max="9" width="10.5703125" bestFit="1" customWidth="1"/>
    <col min="10" max="11" width="12" bestFit="1" customWidth="1"/>
    <col min="12" max="12" width="9.140625" bestFit="1" customWidth="1"/>
    <col min="13" max="13" width="9.140625" customWidth="1"/>
    <col min="14" max="14" width="9.7109375" bestFit="1" customWidth="1"/>
    <col min="15" max="15" width="9.7109375" customWidth="1"/>
    <col min="16" max="16" width="9.5703125" bestFit="1" customWidth="1"/>
    <col min="17" max="17" width="14.140625" customWidth="1"/>
    <col min="18" max="18" width="13.140625" style="8" bestFit="1" customWidth="1"/>
  </cols>
  <sheetData>
    <row r="1" spans="1:18" ht="45.75">
      <c r="A1" s="15" t="s">
        <v>99</v>
      </c>
      <c r="B1" s="15" t="s">
        <v>1</v>
      </c>
      <c r="C1" s="15" t="s">
        <v>100</v>
      </c>
      <c r="D1" s="15" t="s">
        <v>101</v>
      </c>
      <c r="E1" s="15" t="s">
        <v>102</v>
      </c>
      <c r="F1" s="15" t="s">
        <v>103</v>
      </c>
      <c r="G1" s="31" t="s">
        <v>104</v>
      </c>
      <c r="H1" s="31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5" t="s">
        <v>111</v>
      </c>
      <c r="O1" s="15" t="s">
        <v>112</v>
      </c>
      <c r="P1" s="15" t="s">
        <v>113</v>
      </c>
      <c r="Q1" s="15" t="s">
        <v>114</v>
      </c>
      <c r="R1" s="26" t="s">
        <v>115</v>
      </c>
    </row>
    <row r="2" spans="1:18">
      <c r="A2" s="27">
        <v>1</v>
      </c>
      <c r="B2" s="28">
        <v>46109</v>
      </c>
      <c r="C2" s="29" t="s">
        <v>116</v>
      </c>
      <c r="D2" s="30">
        <f>IF(D$1=Winner!$D2,'Ohana Matches'!$U2*0.4,
 IF(D$1=Winner!$E2,'Ohana Matches'!$U2*0.25,
 IF(D$1=Winner!$F2,'Ohana Matches'!$U2*0.15,
 IF(D$1=Winner!$G2,'Ohana Matches'!$U2*0.12,
 IF(D$1=Winner!$H2,'Ohana Matches'!$U2*0.08,0)))))</f>
        <v>272</v>
      </c>
      <c r="E2" s="30">
        <f>IF(E$1=Winner!$D2,'Ohana Matches'!$U2*0.4,
 IF(E$1=Winner!$E2,'Ohana Matches'!$U2*0.25,
 IF(E$1=Winner!$F2,'Ohana Matches'!$U2*0.15,
 IF(E$1=Winner!$G2,'Ohana Matches'!$U2*0.12,
 IF(E$1=Winner!$H2,'Ohana Matches'!$U2*0.08,0)))))</f>
        <v>0</v>
      </c>
      <c r="F2" s="30">
        <f>IF(F$1=Winner!$D2,'Ohana Matches'!$U2*0.4,
 IF(F$1=Winner!$E2,'Ohana Matches'!$U2*0.25,
 IF(F$1=Winner!$F2,'Ohana Matches'!$U2*0.15,
 IF(F$1=Winner!$G2,'Ohana Matches'!$U2*0.12,
 IF(F$1=Winner!$H2,'Ohana Matches'!$U2*0.08,0)))))</f>
        <v>0</v>
      </c>
      <c r="G2" s="30">
        <f>IF(G$1=Winner!$D2,'Ohana Matches'!$U2*0.4,
 IF(G$1=Winner!$E2,'Ohana Matches'!$U2*0.25,
 IF(G$1=Winner!$F2,'Ohana Matches'!$U2*0.15,
 IF(G$1=Winner!$G2,'Ohana Matches'!$U2*0.12,
 IF(G$1=Winner!$H2,'Ohana Matches'!$U2*0.08,0)))))</f>
        <v>0</v>
      </c>
      <c r="H2" s="30">
        <f>IF(H$1=Winner!$D2,'Ohana Matches'!$U2*0.4,
 IF(H$1=Winner!$E2,'Ohana Matches'!$U2*0.25,
 IF(H$1=Winner!$F2,'Ohana Matches'!$U2*0.15,
 IF(H$1=Winner!$G2,'Ohana Matches'!$U2*0.12,
 IF(H$1=Winner!$H2,'Ohana Matches'!$U2*0.08,0)))))</f>
        <v>170</v>
      </c>
      <c r="I2" s="30">
        <f>IF(I$1=Winner!$D2,'Ohana Matches'!$U2*0.4,
 IF(I$1=Winner!$E2,'Ohana Matches'!$U2*0.25,
 IF(I$1=Winner!$F2,'Ohana Matches'!$U2*0.15,
 IF(I$1=Winner!$G2,'Ohana Matches'!$U2*0.12,
 IF(I$1=Winner!$H2,'Ohana Matches'!$U2*0.08,0)))))</f>
        <v>0</v>
      </c>
      <c r="J2" s="30">
        <f>IF(J$1=Winner!$D2,'Ohana Matches'!$U2*0.4,
 IF(J$1=Winner!$E2,'Ohana Matches'!$U2*0.25,
 IF(J$1=Winner!$F2,'Ohana Matches'!$U2*0.15,
 IF(J$1=Winner!$G2,'Ohana Matches'!$U2*0.12,
 IF(J$1=Winner!$H2,'Ohana Matches'!$U2*0.08,0)))))</f>
        <v>81.599999999999994</v>
      </c>
      <c r="K2" s="30">
        <f>IF(K$1=Winner!$D2,'Ohana Matches'!$U2*0.4,
 IF(K$1=Winner!$E2,'Ohana Matches'!$U2*0.25,
 IF(K$1=Winner!$F2,'Ohana Matches'!$U2*0.15,
 IF(K$1=Winner!$G2,'Ohana Matches'!$U2*0.12,
 IF(K$1=Winner!$H2,'Ohana Matches'!$U2*0.08,0)))))</f>
        <v>0</v>
      </c>
      <c r="L2" s="30">
        <f>IF(L$1=Winner!$D2,'Ohana Matches'!$U2*0.4,
 IF(L$1=Winner!$E2,'Ohana Matches'!$U2*0.25,
 IF(L$1=Winner!$F2,'Ohana Matches'!$U2*0.15,
 IF(L$1=Winner!$G2,'Ohana Matches'!$U2*0.12,
 IF(L$1=Winner!$H2,'Ohana Matches'!$U2*0.08,0)))))</f>
        <v>102</v>
      </c>
      <c r="M2" s="30">
        <f>IF(M$1=Winner!$D2,'Ohana Matches'!$U2*0.4,
 IF(M$1=Winner!$E2,'Ohana Matches'!$U2*0.25,
 IF(M$1=Winner!$F2,'Ohana Matches'!$U2*0.15,
 IF(M$1=Winner!$G2,'Ohana Matches'!$U2*0.12,
 IF(M$1=Winner!$H2,'Ohana Matches'!$U2*0.08,0)))))</f>
        <v>0</v>
      </c>
      <c r="N2" s="30">
        <f>IF(N$1=Winner!$D2,'Ohana Matches'!$U2*0.4,
 IF(N$1=Winner!$E2,'Ohana Matches'!$U2*0.25,
 IF(N$1=Winner!$F2,'Ohana Matches'!$U2*0.15,
 IF(N$1=Winner!$G2,'Ohana Matches'!$U2*0.12,
 IF(N$1=Winner!$H2,'Ohana Matches'!$U2*0.08,0)))))</f>
        <v>0</v>
      </c>
      <c r="O2" s="30">
        <f>IF(O$1=Winner!$D2,'Ohana Matches'!$U2*0.4,
 IF(O$1=Winner!$E2,'Ohana Matches'!$U2*0.25,
 IF(O$1=Winner!$F2,'Ohana Matches'!$U2*0.15,
 IF(O$1=Winner!$G2,'Ohana Matches'!$U2*0.12,
 IF(O$1=Winner!$H2,'Ohana Matches'!$U2*0.08,0)))))</f>
        <v>0</v>
      </c>
      <c r="P2" s="30">
        <f>IF(P$1=Winner!$D2,'Ohana Matches'!$U2*0.4,
 IF(P$1=Winner!$E2,'Ohana Matches'!$U2*0.25,
 IF(P$1=Winner!$F2,'Ohana Matches'!$U2*0.15,
 IF(P$1=Winner!$G2,'Ohana Matches'!$U2*0.12,
 IF(P$1=Winner!$H2,'Ohana Matches'!$U2*0.08,0)))))</f>
        <v>54.4</v>
      </c>
      <c r="Q2" s="30">
        <f>IF(Q$1=Winner!$D2,'Ohana Matches'!$U2*0.4,
 IF(Q$1=Winner!$E2,'Ohana Matches'!$U2*0.25,
 IF(Q$1=Winner!$F2,'Ohana Matches'!$U2*0.15,
 IF(Q$1=Winner!$G2,'Ohana Matches'!$U2*0.12,
 IF(Q$1=Winner!$H2,'Ohana Matches'!$U2*0.08,0)))))</f>
        <v>0</v>
      </c>
      <c r="R2" s="26">
        <f>SUM(D2:Q2)</f>
        <v>680</v>
      </c>
    </row>
    <row r="3" spans="1:18">
      <c r="A3" s="27">
        <v>2</v>
      </c>
      <c r="B3" s="28">
        <v>46110</v>
      </c>
      <c r="C3" s="29" t="s">
        <v>117</v>
      </c>
      <c r="D3" s="30">
        <f>IF(D$1=Winner!$D3,'Ohana Matches'!$U3*0.4,
 IF(D$1=Winner!$E3,'Ohana Matches'!$U3*0.25,
 IF(D$1=Winner!$F3,'Ohana Matches'!$U3*0.15,
 IF(D$1=Winner!$G3,'Ohana Matches'!$U3*0.12,
 IF(D$1=Winner!$H3,'Ohana Matches'!$U3*0.08,0)))))</f>
        <v>0</v>
      </c>
      <c r="E3" s="30">
        <f>IF(E$1=Winner!$D3,'Ohana Matches'!$U3*0.4,
 IF(E$1=Winner!$E3,'Ohana Matches'!$U3*0.25,
 IF(E$1=Winner!$F3,'Ohana Matches'!$U3*0.15,
 IF(E$1=Winner!$G3,'Ohana Matches'!$U3*0.12,
 IF(E$1=Winner!$H3,'Ohana Matches'!$U3*0.08,0)))))</f>
        <v>0</v>
      </c>
      <c r="F3" s="30">
        <f>IF(F$1=Winner!$D3,'Ohana Matches'!$U3*0.4,
 IF(F$1=Winner!$E3,'Ohana Matches'!$U3*0.25,
 IF(F$1=Winner!$F3,'Ohana Matches'!$U3*0.15,
 IF(F$1=Winner!$G3,'Ohana Matches'!$U3*0.12,
 IF(F$1=Winner!$H3,'Ohana Matches'!$U3*0.08,0)))))</f>
        <v>0</v>
      </c>
      <c r="G3" s="30">
        <f>IF(G$1=Winner!$D3,'Ohana Matches'!$U3*0.4,
 IF(G$1=Winner!$E3,'Ohana Matches'!$U3*0.25,
 IF(G$1=Winner!$F3,'Ohana Matches'!$U3*0.15,
 IF(G$1=Winner!$G3,'Ohana Matches'!$U3*0.12,
 IF(G$1=Winner!$H3,'Ohana Matches'!$U3*0.08,0)))))</f>
        <v>0</v>
      </c>
      <c r="H3" s="30">
        <f>IF(H$1=Winner!$D3,'Ohana Matches'!$U3*0.4,
 IF(H$1=Winner!$E3,'Ohana Matches'!$U3*0.25,
 IF(H$1=Winner!$F3,'Ohana Matches'!$U3*0.15,
 IF(H$1=Winner!$G3,'Ohana Matches'!$U3*0.12,
 IF(H$1=Winner!$H3,'Ohana Matches'!$U3*0.08,0)))))</f>
        <v>0</v>
      </c>
      <c r="I3" s="30">
        <f>IF(I$1=Winner!$D3,'Ohana Matches'!$U3*0.4,
 IF(I$1=Winner!$E3,'Ohana Matches'!$U3*0.25,
 IF(I$1=Winner!$F3,'Ohana Matches'!$U3*0.15,
 IF(I$1=Winner!$G3,'Ohana Matches'!$U3*0.12,
 IF(I$1=Winner!$H3,'Ohana Matches'!$U3*0.08,0)))))</f>
        <v>0</v>
      </c>
      <c r="J3" s="30">
        <f>IF(J$1=Winner!$D3,'Ohana Matches'!$U3*0.4,
 IF(J$1=Winner!$E3,'Ohana Matches'!$U3*0.25,
 IF(J$1=Winner!$F3,'Ohana Matches'!$U3*0.15,
 IF(J$1=Winner!$G3,'Ohana Matches'!$U3*0.12,
 IF(J$1=Winner!$H3,'Ohana Matches'!$U3*0.08,0)))))</f>
        <v>0</v>
      </c>
      <c r="K3" s="30">
        <f>IF(K$1=Winner!$D3,'Ohana Matches'!$U3*0.4,
 IF(K$1=Winner!$E3,'Ohana Matches'!$U3*0.25,
 IF(K$1=Winner!$F3,'Ohana Matches'!$U3*0.15,
 IF(K$1=Winner!$G3,'Ohana Matches'!$U3*0.12,
 IF(K$1=Winner!$H3,'Ohana Matches'!$U3*0.08,0)))))</f>
        <v>0</v>
      </c>
      <c r="L3" s="30">
        <f>IF(L$1=Winner!$D3,'Ohana Matches'!$U3*0.4,
 IF(L$1=Winner!$E3,'Ohana Matches'!$U3*0.25,
 IF(L$1=Winner!$F3,'Ohana Matches'!$U3*0.15,
 IF(L$1=Winner!$G3,'Ohana Matches'!$U3*0.12,
 IF(L$1=Winner!$H3,'Ohana Matches'!$U3*0.08,0)))))</f>
        <v>0</v>
      </c>
      <c r="M3" s="30">
        <f>IF(M$1=Winner!$D3,'Ohana Matches'!$U3*0.4,
 IF(M$1=Winner!$E3,'Ohana Matches'!$U3*0.25,
 IF(M$1=Winner!$F3,'Ohana Matches'!$U3*0.15,
 IF(M$1=Winner!$G3,'Ohana Matches'!$U3*0.12,
 IF(M$1=Winner!$H3,'Ohana Matches'!$U3*0.08,0)))))</f>
        <v>0</v>
      </c>
      <c r="N3" s="30">
        <f>IF(N$1=Winner!$D3,'Ohana Matches'!$U3*0.4,
 IF(N$1=Winner!$E3,'Ohana Matches'!$U3*0.25,
 IF(N$1=Winner!$F3,'Ohana Matches'!$U3*0.15,
 IF(N$1=Winner!$G3,'Ohana Matches'!$U3*0.12,
 IF(N$1=Winner!$H3,'Ohana Matches'!$U3*0.08,0)))))</f>
        <v>0</v>
      </c>
      <c r="O3" s="30">
        <f>IF(O$1=Winner!$D3,'Ohana Matches'!$U3*0.4,
 IF(O$1=Winner!$E3,'Ohana Matches'!$U3*0.25,
 IF(O$1=Winner!$F3,'Ohana Matches'!$U3*0.15,
 IF(O$1=Winner!$G3,'Ohana Matches'!$U3*0.12,
 IF(O$1=Winner!$H3,'Ohana Matches'!$U3*0.08,0)))))</f>
        <v>0</v>
      </c>
      <c r="P3" s="30">
        <f>IF(P$1=Winner!$D3,'Ohana Matches'!$U3*0.4,
 IF(P$1=Winner!$E3,'Ohana Matches'!$U3*0.25,
 IF(P$1=Winner!$F3,'Ohana Matches'!$U3*0.15,
 IF(P$1=Winner!$G3,'Ohana Matches'!$U3*0.12,
 IF(P$1=Winner!$H3,'Ohana Matches'!$U3*0.08,0)))))</f>
        <v>0</v>
      </c>
      <c r="Q3" s="30">
        <f>IF(Q$1=Winner!$D3,'Ohana Matches'!$U3*0.4,
 IF(Q$1=Winner!$E3,'Ohana Matches'!$U3*0.25,
 IF(Q$1=Winner!$F3,'Ohana Matches'!$U3*0.15,
 IF(Q$1=Winner!$G3,'Ohana Matches'!$U3*0.12,
 IF(Q$1=Winner!$H3,'Ohana Matches'!$U3*0.08,0)))))</f>
        <v>0</v>
      </c>
      <c r="R3" s="26">
        <f t="shared" ref="R3:R66" si="0">SUM(D3:N3)</f>
        <v>0</v>
      </c>
    </row>
    <row r="4" spans="1:18">
      <c r="A4" s="27">
        <v>3</v>
      </c>
      <c r="B4" s="28">
        <v>46111</v>
      </c>
      <c r="C4" s="29" t="s">
        <v>118</v>
      </c>
      <c r="D4" s="30">
        <f>IF(D$1=Winner!$D4,'Ohana Matches'!$U4*0.4,
 IF(D$1=Winner!$E4,'Ohana Matches'!$U4*0.25,
 IF(D$1=Winner!$F4,'Ohana Matches'!$U4*0.15,
 IF(D$1=Winner!$G4,'Ohana Matches'!$U4*0.12,
 IF(D$1=Winner!$H4,'Ohana Matches'!$U4*0.08,0)))))</f>
        <v>0</v>
      </c>
      <c r="E4" s="30">
        <f>IF(E$1=Winner!$D4,'Ohana Matches'!$U4*0.4,
 IF(E$1=Winner!$E4,'Ohana Matches'!$U4*0.25,
 IF(E$1=Winner!$F4,'Ohana Matches'!$U4*0.15,
 IF(E$1=Winner!$G4,'Ohana Matches'!$U4*0.12,
 IF(E$1=Winner!$H4,'Ohana Matches'!$U4*0.08,0)))))</f>
        <v>0</v>
      </c>
      <c r="F4" s="30">
        <f>IF(F$1=Winner!$D4,'Ohana Matches'!$U4*0.4,
 IF(F$1=Winner!$E4,'Ohana Matches'!$U4*0.25,
 IF(F$1=Winner!$F4,'Ohana Matches'!$U4*0.15,
 IF(F$1=Winner!$G4,'Ohana Matches'!$U4*0.12,
 IF(F$1=Winner!$H4,'Ohana Matches'!$U4*0.08,0)))))</f>
        <v>0</v>
      </c>
      <c r="G4" s="30">
        <f>IF(G$1=Winner!$D4,'Ohana Matches'!$U4*0.4,
 IF(G$1=Winner!$E4,'Ohana Matches'!$U4*0.25,
 IF(G$1=Winner!$F4,'Ohana Matches'!$U4*0.15,
 IF(G$1=Winner!$G4,'Ohana Matches'!$U4*0.12,
 IF(G$1=Winner!$H4,'Ohana Matches'!$U4*0.08,0)))))</f>
        <v>0</v>
      </c>
      <c r="H4" s="30">
        <f>IF(H$1=Winner!$D4,'Ohana Matches'!$U4*0.4,
 IF(H$1=Winner!$E4,'Ohana Matches'!$U4*0.25,
 IF(H$1=Winner!$F4,'Ohana Matches'!$U4*0.15,
 IF(H$1=Winner!$G4,'Ohana Matches'!$U4*0.12,
 IF(H$1=Winner!$H4,'Ohana Matches'!$U4*0.08,0)))))</f>
        <v>0</v>
      </c>
      <c r="I4" s="30">
        <f>IF(I$1=Winner!$D4,'Ohana Matches'!$U4*0.4,
 IF(I$1=Winner!$E4,'Ohana Matches'!$U4*0.25,
 IF(I$1=Winner!$F4,'Ohana Matches'!$U4*0.15,
 IF(I$1=Winner!$G4,'Ohana Matches'!$U4*0.12,
 IF(I$1=Winner!$H4,'Ohana Matches'!$U4*0.08,0)))))</f>
        <v>0</v>
      </c>
      <c r="J4" s="30">
        <f>IF(J$1=Winner!$D4,'Ohana Matches'!$U4*0.4,
 IF(J$1=Winner!$E4,'Ohana Matches'!$U4*0.25,
 IF(J$1=Winner!$F4,'Ohana Matches'!$U4*0.15,
 IF(J$1=Winner!$G4,'Ohana Matches'!$U4*0.12,
 IF(J$1=Winner!$H4,'Ohana Matches'!$U4*0.08,0)))))</f>
        <v>0</v>
      </c>
      <c r="K4" s="30">
        <f>IF(K$1=Winner!$D4,'Ohana Matches'!$U4*0.4,
 IF(K$1=Winner!$E4,'Ohana Matches'!$U4*0.25,
 IF(K$1=Winner!$F4,'Ohana Matches'!$U4*0.15,
 IF(K$1=Winner!$G4,'Ohana Matches'!$U4*0.12,
 IF(K$1=Winner!$H4,'Ohana Matches'!$U4*0.08,0)))))</f>
        <v>0</v>
      </c>
      <c r="L4" s="30">
        <f>IF(L$1=Winner!$D4,'Ohana Matches'!$U4*0.4,
 IF(L$1=Winner!$E4,'Ohana Matches'!$U4*0.25,
 IF(L$1=Winner!$F4,'Ohana Matches'!$U4*0.15,
 IF(L$1=Winner!$G4,'Ohana Matches'!$U4*0.12,
 IF(L$1=Winner!$H4,'Ohana Matches'!$U4*0.08,0)))))</f>
        <v>0</v>
      </c>
      <c r="M4" s="30">
        <f>IF(M$1=Winner!$D4,'Ohana Matches'!$U4*0.4,
 IF(M$1=Winner!$E4,'Ohana Matches'!$U4*0.25,
 IF(M$1=Winner!$F4,'Ohana Matches'!$U4*0.15,
 IF(M$1=Winner!$G4,'Ohana Matches'!$U4*0.12,
 IF(M$1=Winner!$H4,'Ohana Matches'!$U4*0.08,0)))))</f>
        <v>0</v>
      </c>
      <c r="N4" s="30">
        <f>IF(N$1=Winner!$D4,'Ohana Matches'!$U4*0.4,
 IF(N$1=Winner!$E4,'Ohana Matches'!$U4*0.25,
 IF(N$1=Winner!$F4,'Ohana Matches'!$U4*0.15,
 IF(N$1=Winner!$G4,'Ohana Matches'!$U4*0.12,
 IF(N$1=Winner!$H4,'Ohana Matches'!$U4*0.08,0)))))</f>
        <v>0</v>
      </c>
      <c r="O4" s="30">
        <f>IF(O$1=Winner!$D4,'Ohana Matches'!$U4*0.4,
 IF(O$1=Winner!$E4,'Ohana Matches'!$U4*0.25,
 IF(O$1=Winner!$F4,'Ohana Matches'!$U4*0.15,
 IF(O$1=Winner!$G4,'Ohana Matches'!$U4*0.12,
 IF(O$1=Winner!$H4,'Ohana Matches'!$U4*0.08,0)))))</f>
        <v>0</v>
      </c>
      <c r="P4" s="30">
        <f>IF(P$1=Winner!$D4,'Ohana Matches'!$U4*0.4,
 IF(P$1=Winner!$E4,'Ohana Matches'!$U4*0.25,
 IF(P$1=Winner!$F4,'Ohana Matches'!$U4*0.15,
 IF(P$1=Winner!$G4,'Ohana Matches'!$U4*0.12,
 IF(P$1=Winner!$H4,'Ohana Matches'!$U4*0.08,0)))))</f>
        <v>0</v>
      </c>
      <c r="Q4" s="30">
        <f>IF(Q$1=Winner!$D4,'Ohana Matches'!$U4*0.4,
 IF(Q$1=Winner!$E4,'Ohana Matches'!$U4*0.25,
 IF(Q$1=Winner!$F4,'Ohana Matches'!$U4*0.15,
 IF(Q$1=Winner!$G4,'Ohana Matches'!$U4*0.12,
 IF(Q$1=Winner!$H4,'Ohana Matches'!$U4*0.08,0)))))</f>
        <v>0</v>
      </c>
      <c r="R4" s="26">
        <f t="shared" si="0"/>
        <v>0</v>
      </c>
    </row>
    <row r="5" spans="1:18">
      <c r="A5" s="27">
        <v>4</v>
      </c>
      <c r="B5" s="28">
        <v>46112</v>
      </c>
      <c r="C5" s="29" t="s">
        <v>119</v>
      </c>
      <c r="D5" s="30">
        <f>IF(D$1=Winner!$D5,'Ohana Matches'!$U5*0.4,
 IF(D$1=Winner!$E5,'Ohana Matches'!$U5*0.25,
 IF(D$1=Winner!$F5,'Ohana Matches'!$U5*0.15,
 IF(D$1=Winner!$G5,'Ohana Matches'!$U5*0.12,
 IF(D$1=Winner!$H5,'Ohana Matches'!$U5*0.08,0)))))</f>
        <v>0</v>
      </c>
      <c r="E5" s="30">
        <f>IF(E$1=Winner!$D5,'Ohana Matches'!$U5*0.4,
 IF(E$1=Winner!$E5,'Ohana Matches'!$U5*0.25,
 IF(E$1=Winner!$F5,'Ohana Matches'!$U5*0.15,
 IF(E$1=Winner!$G5,'Ohana Matches'!$U5*0.12,
 IF(E$1=Winner!$H5,'Ohana Matches'!$U5*0.08,0)))))</f>
        <v>0</v>
      </c>
      <c r="F5" s="30">
        <f>IF(F$1=Winner!$D5,'Ohana Matches'!$U5*0.4,
 IF(F$1=Winner!$E5,'Ohana Matches'!$U5*0.25,
 IF(F$1=Winner!$F5,'Ohana Matches'!$U5*0.15,
 IF(F$1=Winner!$G5,'Ohana Matches'!$U5*0.12,
 IF(F$1=Winner!$H5,'Ohana Matches'!$U5*0.08,0)))))</f>
        <v>0</v>
      </c>
      <c r="G5" s="30">
        <f>IF(G$1=Winner!$D5,'Ohana Matches'!$U5*0.4,
 IF(G$1=Winner!$E5,'Ohana Matches'!$U5*0.25,
 IF(G$1=Winner!$F5,'Ohana Matches'!$U5*0.15,
 IF(G$1=Winner!$G5,'Ohana Matches'!$U5*0.12,
 IF(G$1=Winner!$H5,'Ohana Matches'!$U5*0.08,0)))))</f>
        <v>0</v>
      </c>
      <c r="H5" s="30">
        <f>IF(H$1=Winner!$D5,'Ohana Matches'!$U5*0.4,
 IF(H$1=Winner!$E5,'Ohana Matches'!$U5*0.25,
 IF(H$1=Winner!$F5,'Ohana Matches'!$U5*0.15,
 IF(H$1=Winner!$G5,'Ohana Matches'!$U5*0.12,
 IF(H$1=Winner!$H5,'Ohana Matches'!$U5*0.08,0)))))</f>
        <v>0</v>
      </c>
      <c r="I5" s="30">
        <f>IF(I$1=Winner!$D5,'Ohana Matches'!$U5*0.4,
 IF(I$1=Winner!$E5,'Ohana Matches'!$U5*0.25,
 IF(I$1=Winner!$F5,'Ohana Matches'!$U5*0.15,
 IF(I$1=Winner!$G5,'Ohana Matches'!$U5*0.12,
 IF(I$1=Winner!$H5,'Ohana Matches'!$U5*0.08,0)))))</f>
        <v>0</v>
      </c>
      <c r="J5" s="30">
        <f>IF(J$1=Winner!$D5,'Ohana Matches'!$U5*0.4,
 IF(J$1=Winner!$E5,'Ohana Matches'!$U5*0.25,
 IF(J$1=Winner!$F5,'Ohana Matches'!$U5*0.15,
 IF(J$1=Winner!$G5,'Ohana Matches'!$U5*0.12,
 IF(J$1=Winner!$H5,'Ohana Matches'!$U5*0.08,0)))))</f>
        <v>0</v>
      </c>
      <c r="K5" s="30">
        <f>IF(K$1=Winner!$D5,'Ohana Matches'!$U5*0.4,
 IF(K$1=Winner!$E5,'Ohana Matches'!$U5*0.25,
 IF(K$1=Winner!$F5,'Ohana Matches'!$U5*0.15,
 IF(K$1=Winner!$G5,'Ohana Matches'!$U5*0.12,
 IF(K$1=Winner!$H5,'Ohana Matches'!$U5*0.08,0)))))</f>
        <v>0</v>
      </c>
      <c r="L5" s="30">
        <f>IF(L$1=Winner!$D5,'Ohana Matches'!$U5*0.4,
 IF(L$1=Winner!$E5,'Ohana Matches'!$U5*0.25,
 IF(L$1=Winner!$F5,'Ohana Matches'!$U5*0.15,
 IF(L$1=Winner!$G5,'Ohana Matches'!$U5*0.12,
 IF(L$1=Winner!$H5,'Ohana Matches'!$U5*0.08,0)))))</f>
        <v>0</v>
      </c>
      <c r="M5" s="30">
        <f>IF(M$1=Winner!$D5,'Ohana Matches'!$U5*0.4,
 IF(M$1=Winner!$E5,'Ohana Matches'!$U5*0.25,
 IF(M$1=Winner!$F5,'Ohana Matches'!$U5*0.15,
 IF(M$1=Winner!$G5,'Ohana Matches'!$U5*0.12,
 IF(M$1=Winner!$H5,'Ohana Matches'!$U5*0.08,0)))))</f>
        <v>0</v>
      </c>
      <c r="N5" s="30">
        <f>IF(N$1=Winner!$D5,'Ohana Matches'!$U5*0.4,
 IF(N$1=Winner!$E5,'Ohana Matches'!$U5*0.25,
 IF(N$1=Winner!$F5,'Ohana Matches'!$U5*0.15,
 IF(N$1=Winner!$G5,'Ohana Matches'!$U5*0.12,
 IF(N$1=Winner!$H5,'Ohana Matches'!$U5*0.08,0)))))</f>
        <v>0</v>
      </c>
      <c r="O5" s="30">
        <f>IF(O$1=Winner!$D5,'Ohana Matches'!$U5*0.4,
 IF(O$1=Winner!$E5,'Ohana Matches'!$U5*0.25,
 IF(O$1=Winner!$F5,'Ohana Matches'!$U5*0.15,
 IF(O$1=Winner!$G5,'Ohana Matches'!$U5*0.12,
 IF(O$1=Winner!$H5,'Ohana Matches'!$U5*0.08,0)))))</f>
        <v>0</v>
      </c>
      <c r="P5" s="30">
        <f>IF(P$1=Winner!$D5,'Ohana Matches'!$U5*0.4,
 IF(P$1=Winner!$E5,'Ohana Matches'!$U5*0.25,
 IF(P$1=Winner!$F5,'Ohana Matches'!$U5*0.15,
 IF(P$1=Winner!$G5,'Ohana Matches'!$U5*0.12,
 IF(P$1=Winner!$H5,'Ohana Matches'!$U5*0.08,0)))))</f>
        <v>0</v>
      </c>
      <c r="Q5" s="30">
        <f>IF(Q$1=Winner!$D5,'Ohana Matches'!$U5*0.4,
 IF(Q$1=Winner!$E5,'Ohana Matches'!$U5*0.25,
 IF(Q$1=Winner!$F5,'Ohana Matches'!$U5*0.15,
 IF(Q$1=Winner!$G5,'Ohana Matches'!$U5*0.12,
 IF(Q$1=Winner!$H5,'Ohana Matches'!$U5*0.08,0)))))</f>
        <v>0</v>
      </c>
      <c r="R5" s="26">
        <f t="shared" si="0"/>
        <v>0</v>
      </c>
    </row>
    <row r="6" spans="1:18">
      <c r="A6" s="27">
        <v>5</v>
      </c>
      <c r="B6" s="28">
        <v>46113</v>
      </c>
      <c r="C6" s="29" t="s">
        <v>120</v>
      </c>
      <c r="D6" s="30">
        <f>IF(D$1=Winner!$D6,'Ohana Matches'!$U6*0.4,
 IF(D$1=Winner!$E6,'Ohana Matches'!$U6*0.25,
 IF(D$1=Winner!$F6,'Ohana Matches'!$U6*0.15,
 IF(D$1=Winner!$G6,'Ohana Matches'!$U6*0.12,
 IF(D$1=Winner!$H6,'Ohana Matches'!$U6*0.08,0)))))</f>
        <v>0</v>
      </c>
      <c r="E6" s="30">
        <f>IF(E$1=Winner!$D6,'Ohana Matches'!$U6*0.4,
 IF(E$1=Winner!$E6,'Ohana Matches'!$U6*0.25,
 IF(E$1=Winner!$F6,'Ohana Matches'!$U6*0.15,
 IF(E$1=Winner!$G6,'Ohana Matches'!$U6*0.12,
 IF(E$1=Winner!$H6,'Ohana Matches'!$U6*0.08,0)))))</f>
        <v>0</v>
      </c>
      <c r="F6" s="30">
        <f>IF(F$1=Winner!$D6,'Ohana Matches'!$U6*0.4,
 IF(F$1=Winner!$E6,'Ohana Matches'!$U6*0.25,
 IF(F$1=Winner!$F6,'Ohana Matches'!$U6*0.15,
 IF(F$1=Winner!$G6,'Ohana Matches'!$U6*0.12,
 IF(F$1=Winner!$H6,'Ohana Matches'!$U6*0.08,0)))))</f>
        <v>0</v>
      </c>
      <c r="G6" s="30">
        <f>IF(G$1=Winner!$D6,'Ohana Matches'!$U6*0.4,
 IF(G$1=Winner!$E6,'Ohana Matches'!$U6*0.25,
 IF(G$1=Winner!$F6,'Ohana Matches'!$U6*0.15,
 IF(G$1=Winner!$G6,'Ohana Matches'!$U6*0.12,
 IF(G$1=Winner!$H6,'Ohana Matches'!$U6*0.08,0)))))</f>
        <v>0</v>
      </c>
      <c r="H6" s="30">
        <f>IF(H$1=Winner!$D6,'Ohana Matches'!$U6*0.4,
 IF(H$1=Winner!$E6,'Ohana Matches'!$U6*0.25,
 IF(H$1=Winner!$F6,'Ohana Matches'!$U6*0.15,
 IF(H$1=Winner!$G6,'Ohana Matches'!$U6*0.12,
 IF(H$1=Winner!$H6,'Ohana Matches'!$U6*0.08,0)))))</f>
        <v>0</v>
      </c>
      <c r="I6" s="30">
        <f>IF(I$1=Winner!$D6,'Ohana Matches'!$U6*0.4,
 IF(I$1=Winner!$E6,'Ohana Matches'!$U6*0.25,
 IF(I$1=Winner!$F6,'Ohana Matches'!$U6*0.15,
 IF(I$1=Winner!$G6,'Ohana Matches'!$U6*0.12,
 IF(I$1=Winner!$H6,'Ohana Matches'!$U6*0.08,0)))))</f>
        <v>0</v>
      </c>
      <c r="J6" s="30">
        <f>IF(J$1=Winner!$D6,'Ohana Matches'!$U6*0.4,
 IF(J$1=Winner!$E6,'Ohana Matches'!$U6*0.25,
 IF(J$1=Winner!$F6,'Ohana Matches'!$U6*0.15,
 IF(J$1=Winner!$G6,'Ohana Matches'!$U6*0.12,
 IF(J$1=Winner!$H6,'Ohana Matches'!$U6*0.08,0)))))</f>
        <v>0</v>
      </c>
      <c r="K6" s="30">
        <f>IF(K$1=Winner!$D6,'Ohana Matches'!$U6*0.4,
 IF(K$1=Winner!$E6,'Ohana Matches'!$U6*0.25,
 IF(K$1=Winner!$F6,'Ohana Matches'!$U6*0.15,
 IF(K$1=Winner!$G6,'Ohana Matches'!$U6*0.12,
 IF(K$1=Winner!$H6,'Ohana Matches'!$U6*0.08,0)))))</f>
        <v>0</v>
      </c>
      <c r="L6" s="30">
        <f>IF(L$1=Winner!$D6,'Ohana Matches'!$U6*0.4,
 IF(L$1=Winner!$E6,'Ohana Matches'!$U6*0.25,
 IF(L$1=Winner!$F6,'Ohana Matches'!$U6*0.15,
 IF(L$1=Winner!$G6,'Ohana Matches'!$U6*0.12,
 IF(L$1=Winner!$H6,'Ohana Matches'!$U6*0.08,0)))))</f>
        <v>0</v>
      </c>
      <c r="M6" s="30">
        <f>IF(M$1=Winner!$D6,'Ohana Matches'!$U6*0.4,
 IF(M$1=Winner!$E6,'Ohana Matches'!$U6*0.25,
 IF(M$1=Winner!$F6,'Ohana Matches'!$U6*0.15,
 IF(M$1=Winner!$G6,'Ohana Matches'!$U6*0.12,
 IF(M$1=Winner!$H6,'Ohana Matches'!$U6*0.08,0)))))</f>
        <v>0</v>
      </c>
      <c r="N6" s="30">
        <f>IF(N$1=Winner!$D6,'Ohana Matches'!$U6*0.4,
 IF(N$1=Winner!$E6,'Ohana Matches'!$U6*0.25,
 IF(N$1=Winner!$F6,'Ohana Matches'!$U6*0.15,
 IF(N$1=Winner!$G6,'Ohana Matches'!$U6*0.12,
 IF(N$1=Winner!$H6,'Ohana Matches'!$U6*0.08,0)))))</f>
        <v>0</v>
      </c>
      <c r="O6" s="30">
        <f>IF(O$1=Winner!$D6,'Ohana Matches'!$U6*0.4,
 IF(O$1=Winner!$E6,'Ohana Matches'!$U6*0.25,
 IF(O$1=Winner!$F6,'Ohana Matches'!$U6*0.15,
 IF(O$1=Winner!$G6,'Ohana Matches'!$U6*0.12,
 IF(O$1=Winner!$H6,'Ohana Matches'!$U6*0.08,0)))))</f>
        <v>0</v>
      </c>
      <c r="P6" s="30">
        <f>IF(P$1=Winner!$D6,'Ohana Matches'!$U6*0.4,
 IF(P$1=Winner!$E6,'Ohana Matches'!$U6*0.25,
 IF(P$1=Winner!$F6,'Ohana Matches'!$U6*0.15,
 IF(P$1=Winner!$G6,'Ohana Matches'!$U6*0.12,
 IF(P$1=Winner!$H6,'Ohana Matches'!$U6*0.08,0)))))</f>
        <v>0</v>
      </c>
      <c r="Q6" s="30">
        <f>IF(Q$1=Winner!$D6,'Ohana Matches'!$U6*0.4,
 IF(Q$1=Winner!$E6,'Ohana Matches'!$U6*0.25,
 IF(Q$1=Winner!$F6,'Ohana Matches'!$U6*0.15,
 IF(Q$1=Winner!$G6,'Ohana Matches'!$U6*0.12,
 IF(Q$1=Winner!$H6,'Ohana Matches'!$U6*0.08,0)))))</f>
        <v>0</v>
      </c>
      <c r="R6" s="26">
        <f t="shared" si="0"/>
        <v>0</v>
      </c>
    </row>
    <row r="7" spans="1:18">
      <c r="A7" s="27">
        <v>6</v>
      </c>
      <c r="B7" s="28">
        <v>46114</v>
      </c>
      <c r="C7" s="29" t="s">
        <v>121</v>
      </c>
      <c r="D7" s="30">
        <f>IF(D$1=Winner!$D7,'Ohana Matches'!$U7*0.4,
 IF(D$1=Winner!$E7,'Ohana Matches'!$U7*0.25,
 IF(D$1=Winner!$F7,'Ohana Matches'!$U7*0.15,
 IF(D$1=Winner!$G7,'Ohana Matches'!$U7*0.12,
 IF(D$1=Winner!$H7,'Ohana Matches'!$U7*0.08,0)))))</f>
        <v>0</v>
      </c>
      <c r="E7" s="30">
        <f>IF(E$1=Winner!$D7,'Ohana Matches'!$U7*0.4,
 IF(E$1=Winner!$E7,'Ohana Matches'!$U7*0.25,
 IF(E$1=Winner!$F7,'Ohana Matches'!$U7*0.15,
 IF(E$1=Winner!$G7,'Ohana Matches'!$U7*0.12,
 IF(E$1=Winner!$H7,'Ohana Matches'!$U7*0.08,0)))))</f>
        <v>0</v>
      </c>
      <c r="F7" s="30">
        <f>IF(F$1=Winner!$D7,'Ohana Matches'!$U7*0.4,
 IF(F$1=Winner!$E7,'Ohana Matches'!$U7*0.25,
 IF(F$1=Winner!$F7,'Ohana Matches'!$U7*0.15,
 IF(F$1=Winner!$G7,'Ohana Matches'!$U7*0.12,
 IF(F$1=Winner!$H7,'Ohana Matches'!$U7*0.08,0)))))</f>
        <v>0</v>
      </c>
      <c r="G7" s="30">
        <f>IF(G$1=Winner!$D7,'Ohana Matches'!$U7*0.4,
 IF(G$1=Winner!$E7,'Ohana Matches'!$U7*0.25,
 IF(G$1=Winner!$F7,'Ohana Matches'!$U7*0.15,
 IF(G$1=Winner!$G7,'Ohana Matches'!$U7*0.12,
 IF(G$1=Winner!$H7,'Ohana Matches'!$U7*0.08,0)))))</f>
        <v>0</v>
      </c>
      <c r="H7" s="30">
        <f>IF(H$1=Winner!$D7,'Ohana Matches'!$U7*0.4,
 IF(H$1=Winner!$E7,'Ohana Matches'!$U7*0.25,
 IF(H$1=Winner!$F7,'Ohana Matches'!$U7*0.15,
 IF(H$1=Winner!$G7,'Ohana Matches'!$U7*0.12,
 IF(H$1=Winner!$H7,'Ohana Matches'!$U7*0.08,0)))))</f>
        <v>0</v>
      </c>
      <c r="I7" s="30">
        <f>IF(I$1=Winner!$D7,'Ohana Matches'!$U7*0.4,
 IF(I$1=Winner!$E7,'Ohana Matches'!$U7*0.25,
 IF(I$1=Winner!$F7,'Ohana Matches'!$U7*0.15,
 IF(I$1=Winner!$G7,'Ohana Matches'!$U7*0.12,
 IF(I$1=Winner!$H7,'Ohana Matches'!$U7*0.08,0)))))</f>
        <v>0</v>
      </c>
      <c r="J7" s="30">
        <f>IF(J$1=Winner!$D7,'Ohana Matches'!$U7*0.4,
 IF(J$1=Winner!$E7,'Ohana Matches'!$U7*0.25,
 IF(J$1=Winner!$F7,'Ohana Matches'!$U7*0.15,
 IF(J$1=Winner!$G7,'Ohana Matches'!$U7*0.12,
 IF(J$1=Winner!$H7,'Ohana Matches'!$U7*0.08,0)))))</f>
        <v>0</v>
      </c>
      <c r="K7" s="30">
        <f>IF(K$1=Winner!$D7,'Ohana Matches'!$U7*0.4,
 IF(K$1=Winner!$E7,'Ohana Matches'!$U7*0.25,
 IF(K$1=Winner!$F7,'Ohana Matches'!$U7*0.15,
 IF(K$1=Winner!$G7,'Ohana Matches'!$U7*0.12,
 IF(K$1=Winner!$H7,'Ohana Matches'!$U7*0.08,0)))))</f>
        <v>0</v>
      </c>
      <c r="L7" s="30">
        <f>IF(L$1=Winner!$D7,'Ohana Matches'!$U7*0.4,
 IF(L$1=Winner!$E7,'Ohana Matches'!$U7*0.25,
 IF(L$1=Winner!$F7,'Ohana Matches'!$U7*0.15,
 IF(L$1=Winner!$G7,'Ohana Matches'!$U7*0.12,
 IF(L$1=Winner!$H7,'Ohana Matches'!$U7*0.08,0)))))</f>
        <v>0</v>
      </c>
      <c r="M7" s="30">
        <f>IF(M$1=Winner!$D7,'Ohana Matches'!$U7*0.4,
 IF(M$1=Winner!$E7,'Ohana Matches'!$U7*0.25,
 IF(M$1=Winner!$F7,'Ohana Matches'!$U7*0.15,
 IF(M$1=Winner!$G7,'Ohana Matches'!$U7*0.12,
 IF(M$1=Winner!$H7,'Ohana Matches'!$U7*0.08,0)))))</f>
        <v>0</v>
      </c>
      <c r="N7" s="30">
        <f>IF(N$1=Winner!$D7,'Ohana Matches'!$U7*0.4,
 IF(N$1=Winner!$E7,'Ohana Matches'!$U7*0.25,
 IF(N$1=Winner!$F7,'Ohana Matches'!$U7*0.15,
 IF(N$1=Winner!$G7,'Ohana Matches'!$U7*0.12,
 IF(N$1=Winner!$H7,'Ohana Matches'!$U7*0.08,0)))))</f>
        <v>0</v>
      </c>
      <c r="O7" s="30">
        <f>IF(O$1=Winner!$D7,'Ohana Matches'!$U7*0.4,
 IF(O$1=Winner!$E7,'Ohana Matches'!$U7*0.25,
 IF(O$1=Winner!$F7,'Ohana Matches'!$U7*0.15,
 IF(O$1=Winner!$G7,'Ohana Matches'!$U7*0.12,
 IF(O$1=Winner!$H7,'Ohana Matches'!$U7*0.08,0)))))</f>
        <v>0</v>
      </c>
      <c r="P7" s="30">
        <f>IF(P$1=Winner!$D7,'Ohana Matches'!$U7*0.4,
 IF(P$1=Winner!$E7,'Ohana Matches'!$U7*0.25,
 IF(P$1=Winner!$F7,'Ohana Matches'!$U7*0.15,
 IF(P$1=Winner!$G7,'Ohana Matches'!$U7*0.12,
 IF(P$1=Winner!$H7,'Ohana Matches'!$U7*0.08,0)))))</f>
        <v>0</v>
      </c>
      <c r="Q7" s="30">
        <f>IF(Q$1=Winner!$D7,'Ohana Matches'!$U7*0.4,
 IF(Q$1=Winner!$E7,'Ohana Matches'!$U7*0.25,
 IF(Q$1=Winner!$F7,'Ohana Matches'!$U7*0.15,
 IF(Q$1=Winner!$G7,'Ohana Matches'!$U7*0.12,
 IF(Q$1=Winner!$H7,'Ohana Matches'!$U7*0.08,0)))))</f>
        <v>0</v>
      </c>
      <c r="R7" s="26">
        <f t="shared" si="0"/>
        <v>0</v>
      </c>
    </row>
    <row r="8" spans="1:18">
      <c r="A8" s="27">
        <v>7</v>
      </c>
      <c r="B8" s="28">
        <v>46115</v>
      </c>
      <c r="C8" s="29" t="s">
        <v>122</v>
      </c>
      <c r="D8" s="30">
        <f>IF(D$1=Winner!$D8,'Ohana Matches'!$U8*0.4,
 IF(D$1=Winner!$E8,'Ohana Matches'!$U8*0.25,
 IF(D$1=Winner!$F8,'Ohana Matches'!$U8*0.15,
 IF(D$1=Winner!$G8,'Ohana Matches'!$U8*0.12,
 IF(D$1=Winner!$H8,'Ohana Matches'!$U8*0.08,0)))))</f>
        <v>0</v>
      </c>
      <c r="E8" s="30">
        <f>IF(E$1=Winner!$D8,'Ohana Matches'!$U8*0.4,
 IF(E$1=Winner!$E8,'Ohana Matches'!$U8*0.25,
 IF(E$1=Winner!$F8,'Ohana Matches'!$U8*0.15,
 IF(E$1=Winner!$G8,'Ohana Matches'!$U8*0.12,
 IF(E$1=Winner!$H8,'Ohana Matches'!$U8*0.08,0)))))</f>
        <v>0</v>
      </c>
      <c r="F8" s="30">
        <f>IF(F$1=Winner!$D8,'Ohana Matches'!$U8*0.4,
 IF(F$1=Winner!$E8,'Ohana Matches'!$U8*0.25,
 IF(F$1=Winner!$F8,'Ohana Matches'!$U8*0.15,
 IF(F$1=Winner!$G8,'Ohana Matches'!$U8*0.12,
 IF(F$1=Winner!$H8,'Ohana Matches'!$U8*0.08,0)))))</f>
        <v>0</v>
      </c>
      <c r="G8" s="30">
        <f>IF(G$1=Winner!$D8,'Ohana Matches'!$U8*0.4,
 IF(G$1=Winner!$E8,'Ohana Matches'!$U8*0.25,
 IF(G$1=Winner!$F8,'Ohana Matches'!$U8*0.15,
 IF(G$1=Winner!$G8,'Ohana Matches'!$U8*0.12,
 IF(G$1=Winner!$H8,'Ohana Matches'!$U8*0.08,0)))))</f>
        <v>0</v>
      </c>
      <c r="H8" s="30">
        <f>IF(H$1=Winner!$D8,'Ohana Matches'!$U8*0.4,
 IF(H$1=Winner!$E8,'Ohana Matches'!$U8*0.25,
 IF(H$1=Winner!$F8,'Ohana Matches'!$U8*0.15,
 IF(H$1=Winner!$G8,'Ohana Matches'!$U8*0.12,
 IF(H$1=Winner!$H8,'Ohana Matches'!$U8*0.08,0)))))</f>
        <v>0</v>
      </c>
      <c r="I8" s="30">
        <f>IF(I$1=Winner!$D8,'Ohana Matches'!$U8*0.4,
 IF(I$1=Winner!$E8,'Ohana Matches'!$U8*0.25,
 IF(I$1=Winner!$F8,'Ohana Matches'!$U8*0.15,
 IF(I$1=Winner!$G8,'Ohana Matches'!$U8*0.12,
 IF(I$1=Winner!$H8,'Ohana Matches'!$U8*0.08,0)))))</f>
        <v>0</v>
      </c>
      <c r="J8" s="30">
        <f>IF(J$1=Winner!$D8,'Ohana Matches'!$U8*0.4,
 IF(J$1=Winner!$E8,'Ohana Matches'!$U8*0.25,
 IF(J$1=Winner!$F8,'Ohana Matches'!$U8*0.15,
 IF(J$1=Winner!$G8,'Ohana Matches'!$U8*0.12,
 IF(J$1=Winner!$H8,'Ohana Matches'!$U8*0.08,0)))))</f>
        <v>0</v>
      </c>
      <c r="K8" s="30">
        <f>IF(K$1=Winner!$D8,'Ohana Matches'!$U8*0.4,
 IF(K$1=Winner!$E8,'Ohana Matches'!$U8*0.25,
 IF(K$1=Winner!$F8,'Ohana Matches'!$U8*0.15,
 IF(K$1=Winner!$G8,'Ohana Matches'!$U8*0.12,
 IF(K$1=Winner!$H8,'Ohana Matches'!$U8*0.08,0)))))</f>
        <v>0</v>
      </c>
      <c r="L8" s="30">
        <f>IF(L$1=Winner!$D8,'Ohana Matches'!$U8*0.4,
 IF(L$1=Winner!$E8,'Ohana Matches'!$U8*0.25,
 IF(L$1=Winner!$F8,'Ohana Matches'!$U8*0.15,
 IF(L$1=Winner!$G8,'Ohana Matches'!$U8*0.12,
 IF(L$1=Winner!$H8,'Ohana Matches'!$U8*0.08,0)))))</f>
        <v>0</v>
      </c>
      <c r="M8" s="30">
        <f>IF(M$1=Winner!$D8,'Ohana Matches'!$U8*0.4,
 IF(M$1=Winner!$E8,'Ohana Matches'!$U8*0.25,
 IF(M$1=Winner!$F8,'Ohana Matches'!$U8*0.15,
 IF(M$1=Winner!$G8,'Ohana Matches'!$U8*0.12,
 IF(M$1=Winner!$H8,'Ohana Matches'!$U8*0.08,0)))))</f>
        <v>0</v>
      </c>
      <c r="N8" s="30">
        <f>IF(N$1=Winner!$D8,'Ohana Matches'!$U8*0.4,
 IF(N$1=Winner!$E8,'Ohana Matches'!$U8*0.25,
 IF(N$1=Winner!$F8,'Ohana Matches'!$U8*0.15,
 IF(N$1=Winner!$G8,'Ohana Matches'!$U8*0.12,
 IF(N$1=Winner!$H8,'Ohana Matches'!$U8*0.08,0)))))</f>
        <v>0</v>
      </c>
      <c r="O8" s="30">
        <f>IF(O$1=Winner!$D8,'Ohana Matches'!$U8*0.4,
 IF(O$1=Winner!$E8,'Ohana Matches'!$U8*0.25,
 IF(O$1=Winner!$F8,'Ohana Matches'!$U8*0.15,
 IF(O$1=Winner!$G8,'Ohana Matches'!$U8*0.12,
 IF(O$1=Winner!$H8,'Ohana Matches'!$U8*0.08,0)))))</f>
        <v>0</v>
      </c>
      <c r="P8" s="30">
        <f>IF(P$1=Winner!$D8,'Ohana Matches'!$U8*0.4,
 IF(P$1=Winner!$E8,'Ohana Matches'!$U8*0.25,
 IF(P$1=Winner!$F8,'Ohana Matches'!$U8*0.15,
 IF(P$1=Winner!$G8,'Ohana Matches'!$U8*0.12,
 IF(P$1=Winner!$H8,'Ohana Matches'!$U8*0.08,0)))))</f>
        <v>0</v>
      </c>
      <c r="Q8" s="30">
        <f>IF(Q$1=Winner!$D8,'Ohana Matches'!$U8*0.4,
 IF(Q$1=Winner!$E8,'Ohana Matches'!$U8*0.25,
 IF(Q$1=Winner!$F8,'Ohana Matches'!$U8*0.15,
 IF(Q$1=Winner!$G8,'Ohana Matches'!$U8*0.12,
 IF(Q$1=Winner!$H8,'Ohana Matches'!$U8*0.08,0)))))</f>
        <v>0</v>
      </c>
      <c r="R8" s="26">
        <f t="shared" si="0"/>
        <v>0</v>
      </c>
    </row>
    <row r="9" spans="1:18">
      <c r="A9" s="27">
        <v>8</v>
      </c>
      <c r="B9" s="28">
        <v>46116</v>
      </c>
      <c r="C9" s="29" t="s">
        <v>123</v>
      </c>
      <c r="D9" s="30">
        <f>IF(D$1=Winner!$D9,'Ohana Matches'!$U9*0.4,
 IF(D$1=Winner!$E9,'Ohana Matches'!$U9*0.25,
 IF(D$1=Winner!$F9,'Ohana Matches'!$U9*0.15,
 IF(D$1=Winner!$G9,'Ohana Matches'!$U9*0.12,
 IF(D$1=Winner!$H9,'Ohana Matches'!$U9*0.08,0)))))</f>
        <v>0</v>
      </c>
      <c r="E9" s="30">
        <f>IF(E$1=Winner!$D9,'Ohana Matches'!$U9*0.4,
 IF(E$1=Winner!$E9,'Ohana Matches'!$U9*0.25,
 IF(E$1=Winner!$F9,'Ohana Matches'!$U9*0.15,
 IF(E$1=Winner!$G9,'Ohana Matches'!$U9*0.12,
 IF(E$1=Winner!$H9,'Ohana Matches'!$U9*0.08,0)))))</f>
        <v>0</v>
      </c>
      <c r="F9" s="30">
        <f>IF(F$1=Winner!$D9,'Ohana Matches'!$U9*0.4,
 IF(F$1=Winner!$E9,'Ohana Matches'!$U9*0.25,
 IF(F$1=Winner!$F9,'Ohana Matches'!$U9*0.15,
 IF(F$1=Winner!$G9,'Ohana Matches'!$U9*0.12,
 IF(F$1=Winner!$H9,'Ohana Matches'!$U9*0.08,0)))))</f>
        <v>0</v>
      </c>
      <c r="G9" s="30">
        <f>IF(G$1=Winner!$D9,'Ohana Matches'!$U9*0.4,
 IF(G$1=Winner!$E9,'Ohana Matches'!$U9*0.25,
 IF(G$1=Winner!$F9,'Ohana Matches'!$U9*0.15,
 IF(G$1=Winner!$G9,'Ohana Matches'!$U9*0.12,
 IF(G$1=Winner!$H9,'Ohana Matches'!$U9*0.08,0)))))</f>
        <v>0</v>
      </c>
      <c r="H9" s="30">
        <f>IF(H$1=Winner!$D9,'Ohana Matches'!$U9*0.4,
 IF(H$1=Winner!$E9,'Ohana Matches'!$U9*0.25,
 IF(H$1=Winner!$F9,'Ohana Matches'!$U9*0.15,
 IF(H$1=Winner!$G9,'Ohana Matches'!$U9*0.12,
 IF(H$1=Winner!$H9,'Ohana Matches'!$U9*0.08,0)))))</f>
        <v>0</v>
      </c>
      <c r="I9" s="30">
        <f>IF(I$1=Winner!$D9,'Ohana Matches'!$U9*0.4,
 IF(I$1=Winner!$E9,'Ohana Matches'!$U9*0.25,
 IF(I$1=Winner!$F9,'Ohana Matches'!$U9*0.15,
 IF(I$1=Winner!$G9,'Ohana Matches'!$U9*0.12,
 IF(I$1=Winner!$H9,'Ohana Matches'!$U9*0.08,0)))))</f>
        <v>0</v>
      </c>
      <c r="J9" s="30">
        <f>IF(J$1=Winner!$D9,'Ohana Matches'!$U9*0.4,
 IF(J$1=Winner!$E9,'Ohana Matches'!$U9*0.25,
 IF(J$1=Winner!$F9,'Ohana Matches'!$U9*0.15,
 IF(J$1=Winner!$G9,'Ohana Matches'!$U9*0.12,
 IF(J$1=Winner!$H9,'Ohana Matches'!$U9*0.08,0)))))</f>
        <v>0</v>
      </c>
      <c r="K9" s="30">
        <f>IF(K$1=Winner!$D9,'Ohana Matches'!$U9*0.4,
 IF(K$1=Winner!$E9,'Ohana Matches'!$U9*0.25,
 IF(K$1=Winner!$F9,'Ohana Matches'!$U9*0.15,
 IF(K$1=Winner!$G9,'Ohana Matches'!$U9*0.12,
 IF(K$1=Winner!$H9,'Ohana Matches'!$U9*0.08,0)))))</f>
        <v>0</v>
      </c>
      <c r="L9" s="30">
        <f>IF(L$1=Winner!$D9,'Ohana Matches'!$U9*0.4,
 IF(L$1=Winner!$E9,'Ohana Matches'!$U9*0.25,
 IF(L$1=Winner!$F9,'Ohana Matches'!$U9*0.15,
 IF(L$1=Winner!$G9,'Ohana Matches'!$U9*0.12,
 IF(L$1=Winner!$H9,'Ohana Matches'!$U9*0.08,0)))))</f>
        <v>0</v>
      </c>
      <c r="M9" s="30">
        <f>IF(M$1=Winner!$D9,'Ohana Matches'!$U9*0.4,
 IF(M$1=Winner!$E9,'Ohana Matches'!$U9*0.25,
 IF(M$1=Winner!$F9,'Ohana Matches'!$U9*0.15,
 IF(M$1=Winner!$G9,'Ohana Matches'!$U9*0.12,
 IF(M$1=Winner!$H9,'Ohana Matches'!$U9*0.08,0)))))</f>
        <v>0</v>
      </c>
      <c r="N9" s="30">
        <f>IF(N$1=Winner!$D9,'Ohana Matches'!$U9*0.4,
 IF(N$1=Winner!$E9,'Ohana Matches'!$U9*0.25,
 IF(N$1=Winner!$F9,'Ohana Matches'!$U9*0.15,
 IF(N$1=Winner!$G9,'Ohana Matches'!$U9*0.12,
 IF(N$1=Winner!$H9,'Ohana Matches'!$U9*0.08,0)))))</f>
        <v>0</v>
      </c>
      <c r="O9" s="30">
        <f>IF(O$1=Winner!$D9,'Ohana Matches'!$U9*0.4,
 IF(O$1=Winner!$E9,'Ohana Matches'!$U9*0.25,
 IF(O$1=Winner!$F9,'Ohana Matches'!$U9*0.15,
 IF(O$1=Winner!$G9,'Ohana Matches'!$U9*0.12,
 IF(O$1=Winner!$H9,'Ohana Matches'!$U9*0.08,0)))))</f>
        <v>0</v>
      </c>
      <c r="P9" s="30">
        <f>IF(P$1=Winner!$D9,'Ohana Matches'!$U9*0.4,
 IF(P$1=Winner!$E9,'Ohana Matches'!$U9*0.25,
 IF(P$1=Winner!$F9,'Ohana Matches'!$U9*0.15,
 IF(P$1=Winner!$G9,'Ohana Matches'!$U9*0.12,
 IF(P$1=Winner!$H9,'Ohana Matches'!$U9*0.08,0)))))</f>
        <v>0</v>
      </c>
      <c r="Q9" s="30">
        <f>IF(Q$1=Winner!$D9,'Ohana Matches'!$U9*0.4,
 IF(Q$1=Winner!$E9,'Ohana Matches'!$U9*0.25,
 IF(Q$1=Winner!$F9,'Ohana Matches'!$U9*0.15,
 IF(Q$1=Winner!$G9,'Ohana Matches'!$U9*0.12,
 IF(Q$1=Winner!$H9,'Ohana Matches'!$U9*0.08,0)))))</f>
        <v>0</v>
      </c>
      <c r="R9" s="26">
        <f t="shared" si="0"/>
        <v>0</v>
      </c>
    </row>
    <row r="10" spans="1:18">
      <c r="A10" s="27">
        <v>9</v>
      </c>
      <c r="B10" s="28">
        <v>46116</v>
      </c>
      <c r="C10" s="29" t="s">
        <v>124</v>
      </c>
      <c r="D10" s="30">
        <f>IF(D$1=Winner!$D10,'Ohana Matches'!$U10*0.4,
 IF(D$1=Winner!$E10,'Ohana Matches'!$U10*0.25,
 IF(D$1=Winner!$F10,'Ohana Matches'!$U10*0.15,
 IF(D$1=Winner!$G10,'Ohana Matches'!$U10*0.12,
 IF(D$1=Winner!$H10,'Ohana Matches'!$U10*0.08,0)))))</f>
        <v>0</v>
      </c>
      <c r="E10" s="30">
        <f>IF(E$1=Winner!$D10,'Ohana Matches'!$U10*0.4,
 IF(E$1=Winner!$E10,'Ohana Matches'!$U10*0.25,
 IF(E$1=Winner!$F10,'Ohana Matches'!$U10*0.15,
 IF(E$1=Winner!$G10,'Ohana Matches'!$U10*0.12,
 IF(E$1=Winner!$H10,'Ohana Matches'!$U10*0.08,0)))))</f>
        <v>0</v>
      </c>
      <c r="F10" s="30">
        <f>IF(F$1=Winner!$D10,'Ohana Matches'!$U10*0.4,
 IF(F$1=Winner!$E10,'Ohana Matches'!$U10*0.25,
 IF(F$1=Winner!$F10,'Ohana Matches'!$U10*0.15,
 IF(F$1=Winner!$G10,'Ohana Matches'!$U10*0.12,
 IF(F$1=Winner!$H10,'Ohana Matches'!$U10*0.08,0)))))</f>
        <v>0</v>
      </c>
      <c r="G10" s="30">
        <f>IF(G$1=Winner!$D10,'Ohana Matches'!$U10*0.4,
 IF(G$1=Winner!$E10,'Ohana Matches'!$U10*0.25,
 IF(G$1=Winner!$F10,'Ohana Matches'!$U10*0.15,
 IF(G$1=Winner!$G10,'Ohana Matches'!$U10*0.12,
 IF(G$1=Winner!$H10,'Ohana Matches'!$U10*0.08,0)))))</f>
        <v>0</v>
      </c>
      <c r="H10" s="30">
        <f>IF(H$1=Winner!$D10,'Ohana Matches'!$U10*0.4,
 IF(H$1=Winner!$E10,'Ohana Matches'!$U10*0.25,
 IF(H$1=Winner!$F10,'Ohana Matches'!$U10*0.15,
 IF(H$1=Winner!$G10,'Ohana Matches'!$U10*0.12,
 IF(H$1=Winner!$H10,'Ohana Matches'!$U10*0.08,0)))))</f>
        <v>0</v>
      </c>
      <c r="I10" s="30">
        <f>IF(I$1=Winner!$D10,'Ohana Matches'!$U10*0.4,
 IF(I$1=Winner!$E10,'Ohana Matches'!$U10*0.25,
 IF(I$1=Winner!$F10,'Ohana Matches'!$U10*0.15,
 IF(I$1=Winner!$G10,'Ohana Matches'!$U10*0.12,
 IF(I$1=Winner!$H10,'Ohana Matches'!$U10*0.08,0)))))</f>
        <v>0</v>
      </c>
      <c r="J10" s="30">
        <f>IF(J$1=Winner!$D10,'Ohana Matches'!$U10*0.4,
 IF(J$1=Winner!$E10,'Ohana Matches'!$U10*0.25,
 IF(J$1=Winner!$F10,'Ohana Matches'!$U10*0.15,
 IF(J$1=Winner!$G10,'Ohana Matches'!$U10*0.12,
 IF(J$1=Winner!$H10,'Ohana Matches'!$U10*0.08,0)))))</f>
        <v>0</v>
      </c>
      <c r="K10" s="30">
        <f>IF(K$1=Winner!$D10,'Ohana Matches'!$U10*0.4,
 IF(K$1=Winner!$E10,'Ohana Matches'!$U10*0.25,
 IF(K$1=Winner!$F10,'Ohana Matches'!$U10*0.15,
 IF(K$1=Winner!$G10,'Ohana Matches'!$U10*0.12,
 IF(K$1=Winner!$H10,'Ohana Matches'!$U10*0.08,0)))))</f>
        <v>0</v>
      </c>
      <c r="L10" s="30">
        <f>IF(L$1=Winner!$D10,'Ohana Matches'!$U10*0.4,
 IF(L$1=Winner!$E10,'Ohana Matches'!$U10*0.25,
 IF(L$1=Winner!$F10,'Ohana Matches'!$U10*0.15,
 IF(L$1=Winner!$G10,'Ohana Matches'!$U10*0.12,
 IF(L$1=Winner!$H10,'Ohana Matches'!$U10*0.08,0)))))</f>
        <v>0</v>
      </c>
      <c r="M10" s="30">
        <f>IF(M$1=Winner!$D10,'Ohana Matches'!$U10*0.4,
 IF(M$1=Winner!$E10,'Ohana Matches'!$U10*0.25,
 IF(M$1=Winner!$F10,'Ohana Matches'!$U10*0.15,
 IF(M$1=Winner!$G10,'Ohana Matches'!$U10*0.12,
 IF(M$1=Winner!$H10,'Ohana Matches'!$U10*0.08,0)))))</f>
        <v>0</v>
      </c>
      <c r="N10" s="30">
        <f>IF(N$1=Winner!$D10,'Ohana Matches'!$U10*0.4,
 IF(N$1=Winner!$E10,'Ohana Matches'!$U10*0.25,
 IF(N$1=Winner!$F10,'Ohana Matches'!$U10*0.15,
 IF(N$1=Winner!$G10,'Ohana Matches'!$U10*0.12,
 IF(N$1=Winner!$H10,'Ohana Matches'!$U10*0.08,0)))))</f>
        <v>0</v>
      </c>
      <c r="O10" s="30">
        <f>IF(O$1=Winner!$D10,'Ohana Matches'!$U10*0.4,
 IF(O$1=Winner!$E10,'Ohana Matches'!$U10*0.25,
 IF(O$1=Winner!$F10,'Ohana Matches'!$U10*0.15,
 IF(O$1=Winner!$G10,'Ohana Matches'!$U10*0.12,
 IF(O$1=Winner!$H10,'Ohana Matches'!$U10*0.08,0)))))</f>
        <v>0</v>
      </c>
      <c r="P10" s="30">
        <f>IF(P$1=Winner!$D10,'Ohana Matches'!$U10*0.4,
 IF(P$1=Winner!$E10,'Ohana Matches'!$U10*0.25,
 IF(P$1=Winner!$F10,'Ohana Matches'!$U10*0.15,
 IF(P$1=Winner!$G10,'Ohana Matches'!$U10*0.12,
 IF(P$1=Winner!$H10,'Ohana Matches'!$U10*0.08,0)))))</f>
        <v>0</v>
      </c>
      <c r="Q10" s="30">
        <f>IF(Q$1=Winner!$D10,'Ohana Matches'!$U10*0.4,
 IF(Q$1=Winner!$E10,'Ohana Matches'!$U10*0.25,
 IF(Q$1=Winner!$F10,'Ohana Matches'!$U10*0.15,
 IF(Q$1=Winner!$G10,'Ohana Matches'!$U10*0.12,
 IF(Q$1=Winner!$H10,'Ohana Matches'!$U10*0.08,0)))))</f>
        <v>0</v>
      </c>
      <c r="R10" s="26">
        <f t="shared" si="0"/>
        <v>0</v>
      </c>
    </row>
    <row r="11" spans="1:18">
      <c r="A11" s="27">
        <v>10</v>
      </c>
      <c r="B11" s="28">
        <v>46117</v>
      </c>
      <c r="C11" s="29" t="s">
        <v>125</v>
      </c>
      <c r="D11" s="30">
        <f>IF(D$1=Winner!$D11,'Ohana Matches'!$U11*0.4,
 IF(D$1=Winner!$E11,'Ohana Matches'!$U11*0.25,
 IF(D$1=Winner!$F11,'Ohana Matches'!$U11*0.15,
 IF(D$1=Winner!$G11,'Ohana Matches'!$U11*0.12,
 IF(D$1=Winner!$H11,'Ohana Matches'!$U11*0.08,0)))))</f>
        <v>0</v>
      </c>
      <c r="E11" s="30">
        <f>IF(E$1=Winner!$D11,'Ohana Matches'!$U11*0.4,
 IF(E$1=Winner!$E11,'Ohana Matches'!$U11*0.25,
 IF(E$1=Winner!$F11,'Ohana Matches'!$U11*0.15,
 IF(E$1=Winner!$G11,'Ohana Matches'!$U11*0.12,
 IF(E$1=Winner!$H11,'Ohana Matches'!$U11*0.08,0)))))</f>
        <v>0</v>
      </c>
      <c r="F11" s="30">
        <f>IF(F$1=Winner!$D11,'Ohana Matches'!$U11*0.4,
 IF(F$1=Winner!$E11,'Ohana Matches'!$U11*0.25,
 IF(F$1=Winner!$F11,'Ohana Matches'!$U11*0.15,
 IF(F$1=Winner!$G11,'Ohana Matches'!$U11*0.12,
 IF(F$1=Winner!$H11,'Ohana Matches'!$U11*0.08,0)))))</f>
        <v>0</v>
      </c>
      <c r="G11" s="30">
        <f>IF(G$1=Winner!$D11,'Ohana Matches'!$U11*0.4,
 IF(G$1=Winner!$E11,'Ohana Matches'!$U11*0.25,
 IF(G$1=Winner!$F11,'Ohana Matches'!$U11*0.15,
 IF(G$1=Winner!$G11,'Ohana Matches'!$U11*0.12,
 IF(G$1=Winner!$H11,'Ohana Matches'!$U11*0.08,0)))))</f>
        <v>0</v>
      </c>
      <c r="H11" s="30">
        <f>IF(H$1=Winner!$D11,'Ohana Matches'!$U11*0.4,
 IF(H$1=Winner!$E11,'Ohana Matches'!$U11*0.25,
 IF(H$1=Winner!$F11,'Ohana Matches'!$U11*0.15,
 IF(H$1=Winner!$G11,'Ohana Matches'!$U11*0.12,
 IF(H$1=Winner!$H11,'Ohana Matches'!$U11*0.08,0)))))</f>
        <v>0</v>
      </c>
      <c r="I11" s="30">
        <f>IF(I$1=Winner!$D11,'Ohana Matches'!$U11*0.4,
 IF(I$1=Winner!$E11,'Ohana Matches'!$U11*0.25,
 IF(I$1=Winner!$F11,'Ohana Matches'!$U11*0.15,
 IF(I$1=Winner!$G11,'Ohana Matches'!$U11*0.12,
 IF(I$1=Winner!$H11,'Ohana Matches'!$U11*0.08,0)))))</f>
        <v>0</v>
      </c>
      <c r="J11" s="30">
        <f>IF(J$1=Winner!$D11,'Ohana Matches'!$U11*0.4,
 IF(J$1=Winner!$E11,'Ohana Matches'!$U11*0.25,
 IF(J$1=Winner!$F11,'Ohana Matches'!$U11*0.15,
 IF(J$1=Winner!$G11,'Ohana Matches'!$U11*0.12,
 IF(J$1=Winner!$H11,'Ohana Matches'!$U11*0.08,0)))))</f>
        <v>0</v>
      </c>
      <c r="K11" s="30">
        <f>IF(K$1=Winner!$D11,'Ohana Matches'!$U11*0.4,
 IF(K$1=Winner!$E11,'Ohana Matches'!$U11*0.25,
 IF(K$1=Winner!$F11,'Ohana Matches'!$U11*0.15,
 IF(K$1=Winner!$G11,'Ohana Matches'!$U11*0.12,
 IF(K$1=Winner!$H11,'Ohana Matches'!$U11*0.08,0)))))</f>
        <v>0</v>
      </c>
      <c r="L11" s="30">
        <f>IF(L$1=Winner!$D11,'Ohana Matches'!$U11*0.4,
 IF(L$1=Winner!$E11,'Ohana Matches'!$U11*0.25,
 IF(L$1=Winner!$F11,'Ohana Matches'!$U11*0.15,
 IF(L$1=Winner!$G11,'Ohana Matches'!$U11*0.12,
 IF(L$1=Winner!$H11,'Ohana Matches'!$U11*0.08,0)))))</f>
        <v>0</v>
      </c>
      <c r="M11" s="30">
        <f>IF(M$1=Winner!$D11,'Ohana Matches'!$U11*0.4,
 IF(M$1=Winner!$E11,'Ohana Matches'!$U11*0.25,
 IF(M$1=Winner!$F11,'Ohana Matches'!$U11*0.15,
 IF(M$1=Winner!$G11,'Ohana Matches'!$U11*0.12,
 IF(M$1=Winner!$H11,'Ohana Matches'!$U11*0.08,0)))))</f>
        <v>0</v>
      </c>
      <c r="N11" s="30">
        <f>IF(N$1=Winner!$D11,'Ohana Matches'!$U11*0.4,
 IF(N$1=Winner!$E11,'Ohana Matches'!$U11*0.25,
 IF(N$1=Winner!$F11,'Ohana Matches'!$U11*0.15,
 IF(N$1=Winner!$G11,'Ohana Matches'!$U11*0.12,
 IF(N$1=Winner!$H11,'Ohana Matches'!$U11*0.08,0)))))</f>
        <v>0</v>
      </c>
      <c r="O11" s="30">
        <f>IF(O$1=Winner!$D11,'Ohana Matches'!$U11*0.4,
 IF(O$1=Winner!$E11,'Ohana Matches'!$U11*0.25,
 IF(O$1=Winner!$F11,'Ohana Matches'!$U11*0.15,
 IF(O$1=Winner!$G11,'Ohana Matches'!$U11*0.12,
 IF(O$1=Winner!$H11,'Ohana Matches'!$U11*0.08,0)))))</f>
        <v>0</v>
      </c>
      <c r="P11" s="30">
        <f>IF(P$1=Winner!$D11,'Ohana Matches'!$U11*0.4,
 IF(P$1=Winner!$E11,'Ohana Matches'!$U11*0.25,
 IF(P$1=Winner!$F11,'Ohana Matches'!$U11*0.15,
 IF(P$1=Winner!$G11,'Ohana Matches'!$U11*0.12,
 IF(P$1=Winner!$H11,'Ohana Matches'!$U11*0.08,0)))))</f>
        <v>0</v>
      </c>
      <c r="Q11" s="30">
        <f>IF(Q$1=Winner!$D11,'Ohana Matches'!$U11*0.4,
 IF(Q$1=Winner!$E11,'Ohana Matches'!$U11*0.25,
 IF(Q$1=Winner!$F11,'Ohana Matches'!$U11*0.15,
 IF(Q$1=Winner!$G11,'Ohana Matches'!$U11*0.12,
 IF(Q$1=Winner!$H11,'Ohana Matches'!$U11*0.08,0)))))</f>
        <v>0</v>
      </c>
      <c r="R11" s="26">
        <f t="shared" si="0"/>
        <v>0</v>
      </c>
    </row>
    <row r="12" spans="1:18">
      <c r="A12" s="27">
        <v>11</v>
      </c>
      <c r="B12" s="28">
        <v>46117</v>
      </c>
      <c r="C12" s="29" t="s">
        <v>126</v>
      </c>
      <c r="D12" s="30">
        <f>IF(D$1=Winner!$D12,'Ohana Matches'!$U12*0.4,
 IF(D$1=Winner!$E12,'Ohana Matches'!$U12*0.25,
 IF(D$1=Winner!$F12,'Ohana Matches'!$U12*0.15,
 IF(D$1=Winner!$G12,'Ohana Matches'!$U12*0.12,
 IF(D$1=Winner!$H12,'Ohana Matches'!$U12*0.08,0)))))</f>
        <v>0</v>
      </c>
      <c r="E12" s="30">
        <f>IF(E$1=Winner!$D12,'Ohana Matches'!$U12*0.4,
 IF(E$1=Winner!$E12,'Ohana Matches'!$U12*0.25,
 IF(E$1=Winner!$F12,'Ohana Matches'!$U12*0.15,
 IF(E$1=Winner!$G12,'Ohana Matches'!$U12*0.12,
 IF(E$1=Winner!$H12,'Ohana Matches'!$U12*0.08,0)))))</f>
        <v>0</v>
      </c>
      <c r="F12" s="30">
        <f>IF(F$1=Winner!$D12,'Ohana Matches'!$U12*0.4,
 IF(F$1=Winner!$E12,'Ohana Matches'!$U12*0.25,
 IF(F$1=Winner!$F12,'Ohana Matches'!$U12*0.15,
 IF(F$1=Winner!$G12,'Ohana Matches'!$U12*0.12,
 IF(F$1=Winner!$H12,'Ohana Matches'!$U12*0.08,0)))))</f>
        <v>0</v>
      </c>
      <c r="G12" s="30">
        <f>IF(G$1=Winner!$D12,'Ohana Matches'!$U12*0.4,
 IF(G$1=Winner!$E12,'Ohana Matches'!$U12*0.25,
 IF(G$1=Winner!$F12,'Ohana Matches'!$U12*0.15,
 IF(G$1=Winner!$G12,'Ohana Matches'!$U12*0.12,
 IF(G$1=Winner!$H12,'Ohana Matches'!$U12*0.08,0)))))</f>
        <v>0</v>
      </c>
      <c r="H12" s="30">
        <f>IF(H$1=Winner!$D12,'Ohana Matches'!$U12*0.4,
 IF(H$1=Winner!$E12,'Ohana Matches'!$U12*0.25,
 IF(H$1=Winner!$F12,'Ohana Matches'!$U12*0.15,
 IF(H$1=Winner!$G12,'Ohana Matches'!$U12*0.12,
 IF(H$1=Winner!$H12,'Ohana Matches'!$U12*0.08,0)))))</f>
        <v>0</v>
      </c>
      <c r="I12" s="30">
        <f>IF(I$1=Winner!$D12,'Ohana Matches'!$U12*0.4,
 IF(I$1=Winner!$E12,'Ohana Matches'!$U12*0.25,
 IF(I$1=Winner!$F12,'Ohana Matches'!$U12*0.15,
 IF(I$1=Winner!$G12,'Ohana Matches'!$U12*0.12,
 IF(I$1=Winner!$H12,'Ohana Matches'!$U12*0.08,0)))))</f>
        <v>0</v>
      </c>
      <c r="J12" s="30">
        <f>IF(J$1=Winner!$D12,'Ohana Matches'!$U12*0.4,
 IF(J$1=Winner!$E12,'Ohana Matches'!$U12*0.25,
 IF(J$1=Winner!$F12,'Ohana Matches'!$U12*0.15,
 IF(J$1=Winner!$G12,'Ohana Matches'!$U12*0.12,
 IF(J$1=Winner!$H12,'Ohana Matches'!$U12*0.08,0)))))</f>
        <v>0</v>
      </c>
      <c r="K12" s="30">
        <f>IF(K$1=Winner!$D12,'Ohana Matches'!$U12*0.4,
 IF(K$1=Winner!$E12,'Ohana Matches'!$U12*0.25,
 IF(K$1=Winner!$F12,'Ohana Matches'!$U12*0.15,
 IF(K$1=Winner!$G12,'Ohana Matches'!$U12*0.12,
 IF(K$1=Winner!$H12,'Ohana Matches'!$U12*0.08,0)))))</f>
        <v>0</v>
      </c>
      <c r="L12" s="30">
        <f>IF(L$1=Winner!$D12,'Ohana Matches'!$U12*0.4,
 IF(L$1=Winner!$E12,'Ohana Matches'!$U12*0.25,
 IF(L$1=Winner!$F12,'Ohana Matches'!$U12*0.15,
 IF(L$1=Winner!$G12,'Ohana Matches'!$U12*0.12,
 IF(L$1=Winner!$H12,'Ohana Matches'!$U12*0.08,0)))))</f>
        <v>0</v>
      </c>
      <c r="M12" s="30">
        <f>IF(M$1=Winner!$D12,'Ohana Matches'!$U12*0.4,
 IF(M$1=Winner!$E12,'Ohana Matches'!$U12*0.25,
 IF(M$1=Winner!$F12,'Ohana Matches'!$U12*0.15,
 IF(M$1=Winner!$G12,'Ohana Matches'!$U12*0.12,
 IF(M$1=Winner!$H12,'Ohana Matches'!$U12*0.08,0)))))</f>
        <v>0</v>
      </c>
      <c r="N12" s="30">
        <f>IF(N$1=Winner!$D12,'Ohana Matches'!$U12*0.4,
 IF(N$1=Winner!$E12,'Ohana Matches'!$U12*0.25,
 IF(N$1=Winner!$F12,'Ohana Matches'!$U12*0.15,
 IF(N$1=Winner!$G12,'Ohana Matches'!$U12*0.12,
 IF(N$1=Winner!$H12,'Ohana Matches'!$U12*0.08,0)))))</f>
        <v>0</v>
      </c>
      <c r="O12" s="30">
        <f>IF(O$1=Winner!$D12,'Ohana Matches'!$U12*0.4,
 IF(O$1=Winner!$E12,'Ohana Matches'!$U12*0.25,
 IF(O$1=Winner!$F12,'Ohana Matches'!$U12*0.15,
 IF(O$1=Winner!$G12,'Ohana Matches'!$U12*0.12,
 IF(O$1=Winner!$H12,'Ohana Matches'!$U12*0.08,0)))))</f>
        <v>0</v>
      </c>
      <c r="P12" s="30">
        <f>IF(P$1=Winner!$D12,'Ohana Matches'!$U12*0.4,
 IF(P$1=Winner!$E12,'Ohana Matches'!$U12*0.25,
 IF(P$1=Winner!$F12,'Ohana Matches'!$U12*0.15,
 IF(P$1=Winner!$G12,'Ohana Matches'!$U12*0.12,
 IF(P$1=Winner!$H12,'Ohana Matches'!$U12*0.08,0)))))</f>
        <v>0</v>
      </c>
      <c r="Q12" s="30">
        <f>IF(Q$1=Winner!$D12,'Ohana Matches'!$U12*0.4,
 IF(Q$1=Winner!$E12,'Ohana Matches'!$U12*0.25,
 IF(Q$1=Winner!$F12,'Ohana Matches'!$U12*0.15,
 IF(Q$1=Winner!$G12,'Ohana Matches'!$U12*0.12,
 IF(Q$1=Winner!$H12,'Ohana Matches'!$U12*0.08,0)))))</f>
        <v>0</v>
      </c>
      <c r="R12" s="26">
        <f t="shared" si="0"/>
        <v>0</v>
      </c>
    </row>
    <row r="13" spans="1:18">
      <c r="A13" s="27">
        <v>12</v>
      </c>
      <c r="B13" s="28">
        <v>46118</v>
      </c>
      <c r="C13" s="29" t="s">
        <v>127</v>
      </c>
      <c r="D13" s="30">
        <f>IF(D$1=Winner!$D13,'Ohana Matches'!$U13*0.4,
 IF(D$1=Winner!$E13,'Ohana Matches'!$U13*0.25,
 IF(D$1=Winner!$F13,'Ohana Matches'!$U13*0.15,
 IF(D$1=Winner!$G13,'Ohana Matches'!$U13*0.12,
 IF(D$1=Winner!$H13,'Ohana Matches'!$U13*0.08,0)))))</f>
        <v>0</v>
      </c>
      <c r="E13" s="30">
        <f>IF(E$1=Winner!$D13,'Ohana Matches'!$U13*0.4,
 IF(E$1=Winner!$E13,'Ohana Matches'!$U13*0.25,
 IF(E$1=Winner!$F13,'Ohana Matches'!$U13*0.15,
 IF(E$1=Winner!$G13,'Ohana Matches'!$U13*0.12,
 IF(E$1=Winner!$H13,'Ohana Matches'!$U13*0.08,0)))))</f>
        <v>0</v>
      </c>
      <c r="F13" s="30">
        <f>IF(F$1=Winner!$D13,'Ohana Matches'!$U13*0.4,
 IF(F$1=Winner!$E13,'Ohana Matches'!$U13*0.25,
 IF(F$1=Winner!$F13,'Ohana Matches'!$U13*0.15,
 IF(F$1=Winner!$G13,'Ohana Matches'!$U13*0.12,
 IF(F$1=Winner!$H13,'Ohana Matches'!$U13*0.08,0)))))</f>
        <v>0</v>
      </c>
      <c r="G13" s="30">
        <f>IF(G$1=Winner!$D13,'Ohana Matches'!$U13*0.4,
 IF(G$1=Winner!$E13,'Ohana Matches'!$U13*0.25,
 IF(G$1=Winner!$F13,'Ohana Matches'!$U13*0.15,
 IF(G$1=Winner!$G13,'Ohana Matches'!$U13*0.12,
 IF(G$1=Winner!$H13,'Ohana Matches'!$U13*0.08,0)))))</f>
        <v>0</v>
      </c>
      <c r="H13" s="30">
        <f>IF(H$1=Winner!$D13,'Ohana Matches'!$U13*0.4,
 IF(H$1=Winner!$E13,'Ohana Matches'!$U13*0.25,
 IF(H$1=Winner!$F13,'Ohana Matches'!$U13*0.15,
 IF(H$1=Winner!$G13,'Ohana Matches'!$U13*0.12,
 IF(H$1=Winner!$H13,'Ohana Matches'!$U13*0.08,0)))))</f>
        <v>0</v>
      </c>
      <c r="I13" s="30">
        <f>IF(I$1=Winner!$D13,'Ohana Matches'!$U13*0.4,
 IF(I$1=Winner!$E13,'Ohana Matches'!$U13*0.25,
 IF(I$1=Winner!$F13,'Ohana Matches'!$U13*0.15,
 IF(I$1=Winner!$G13,'Ohana Matches'!$U13*0.12,
 IF(I$1=Winner!$H13,'Ohana Matches'!$U13*0.08,0)))))</f>
        <v>0</v>
      </c>
      <c r="J13" s="30">
        <f>IF(J$1=Winner!$D13,'Ohana Matches'!$U13*0.4,
 IF(J$1=Winner!$E13,'Ohana Matches'!$U13*0.25,
 IF(J$1=Winner!$F13,'Ohana Matches'!$U13*0.15,
 IF(J$1=Winner!$G13,'Ohana Matches'!$U13*0.12,
 IF(J$1=Winner!$H13,'Ohana Matches'!$U13*0.08,0)))))</f>
        <v>0</v>
      </c>
      <c r="K13" s="30">
        <f>IF(K$1=Winner!$D13,'Ohana Matches'!$U13*0.4,
 IF(K$1=Winner!$E13,'Ohana Matches'!$U13*0.25,
 IF(K$1=Winner!$F13,'Ohana Matches'!$U13*0.15,
 IF(K$1=Winner!$G13,'Ohana Matches'!$U13*0.12,
 IF(K$1=Winner!$H13,'Ohana Matches'!$U13*0.08,0)))))</f>
        <v>0</v>
      </c>
      <c r="L13" s="30">
        <f>IF(L$1=Winner!$D13,'Ohana Matches'!$U13*0.4,
 IF(L$1=Winner!$E13,'Ohana Matches'!$U13*0.25,
 IF(L$1=Winner!$F13,'Ohana Matches'!$U13*0.15,
 IF(L$1=Winner!$G13,'Ohana Matches'!$U13*0.12,
 IF(L$1=Winner!$H13,'Ohana Matches'!$U13*0.08,0)))))</f>
        <v>0</v>
      </c>
      <c r="M13" s="30">
        <f>IF(M$1=Winner!$D13,'Ohana Matches'!$U13*0.4,
 IF(M$1=Winner!$E13,'Ohana Matches'!$U13*0.25,
 IF(M$1=Winner!$F13,'Ohana Matches'!$U13*0.15,
 IF(M$1=Winner!$G13,'Ohana Matches'!$U13*0.12,
 IF(M$1=Winner!$H13,'Ohana Matches'!$U13*0.08,0)))))</f>
        <v>0</v>
      </c>
      <c r="N13" s="30">
        <f>IF(N$1=Winner!$D13,'Ohana Matches'!$U13*0.4,
 IF(N$1=Winner!$E13,'Ohana Matches'!$U13*0.25,
 IF(N$1=Winner!$F13,'Ohana Matches'!$U13*0.15,
 IF(N$1=Winner!$G13,'Ohana Matches'!$U13*0.12,
 IF(N$1=Winner!$H13,'Ohana Matches'!$U13*0.08,0)))))</f>
        <v>0</v>
      </c>
      <c r="O13" s="30">
        <f>IF(O$1=Winner!$D13,'Ohana Matches'!$U13*0.4,
 IF(O$1=Winner!$E13,'Ohana Matches'!$U13*0.25,
 IF(O$1=Winner!$F13,'Ohana Matches'!$U13*0.15,
 IF(O$1=Winner!$G13,'Ohana Matches'!$U13*0.12,
 IF(O$1=Winner!$H13,'Ohana Matches'!$U13*0.08,0)))))</f>
        <v>0</v>
      </c>
      <c r="P13" s="30">
        <f>IF(P$1=Winner!$D13,'Ohana Matches'!$U13*0.4,
 IF(P$1=Winner!$E13,'Ohana Matches'!$U13*0.25,
 IF(P$1=Winner!$F13,'Ohana Matches'!$U13*0.15,
 IF(P$1=Winner!$G13,'Ohana Matches'!$U13*0.12,
 IF(P$1=Winner!$H13,'Ohana Matches'!$U13*0.08,0)))))</f>
        <v>0</v>
      </c>
      <c r="Q13" s="30">
        <f>IF(Q$1=Winner!$D13,'Ohana Matches'!$U13*0.4,
 IF(Q$1=Winner!$E13,'Ohana Matches'!$U13*0.25,
 IF(Q$1=Winner!$F13,'Ohana Matches'!$U13*0.15,
 IF(Q$1=Winner!$G13,'Ohana Matches'!$U13*0.12,
 IF(Q$1=Winner!$H13,'Ohana Matches'!$U13*0.08,0)))))</f>
        <v>0</v>
      </c>
      <c r="R13" s="26">
        <f t="shared" si="0"/>
        <v>0</v>
      </c>
    </row>
    <row r="14" spans="1:18">
      <c r="A14" s="27">
        <v>13</v>
      </c>
      <c r="B14" s="28">
        <v>46119</v>
      </c>
      <c r="C14" s="29" t="s">
        <v>128</v>
      </c>
      <c r="D14" s="30">
        <f>IF(D$1=Winner!$D14,'Ohana Matches'!$U14*0.4,
 IF(D$1=Winner!$E14,'Ohana Matches'!$U14*0.25,
 IF(D$1=Winner!$F14,'Ohana Matches'!$U14*0.15,
 IF(D$1=Winner!$G14,'Ohana Matches'!$U14*0.12,
 IF(D$1=Winner!$H14,'Ohana Matches'!$U14*0.08,0)))))</f>
        <v>0</v>
      </c>
      <c r="E14" s="30">
        <f>IF(E$1=Winner!$D14,'Ohana Matches'!$U14*0.4,
 IF(E$1=Winner!$E14,'Ohana Matches'!$U14*0.25,
 IF(E$1=Winner!$F14,'Ohana Matches'!$U14*0.15,
 IF(E$1=Winner!$G14,'Ohana Matches'!$U14*0.12,
 IF(E$1=Winner!$H14,'Ohana Matches'!$U14*0.08,0)))))</f>
        <v>0</v>
      </c>
      <c r="F14" s="30">
        <f>IF(F$1=Winner!$D14,'Ohana Matches'!$U14*0.4,
 IF(F$1=Winner!$E14,'Ohana Matches'!$U14*0.25,
 IF(F$1=Winner!$F14,'Ohana Matches'!$U14*0.15,
 IF(F$1=Winner!$G14,'Ohana Matches'!$U14*0.12,
 IF(F$1=Winner!$H14,'Ohana Matches'!$U14*0.08,0)))))</f>
        <v>0</v>
      </c>
      <c r="G14" s="30">
        <f>IF(G$1=Winner!$D14,'Ohana Matches'!$U14*0.4,
 IF(G$1=Winner!$E14,'Ohana Matches'!$U14*0.25,
 IF(G$1=Winner!$F14,'Ohana Matches'!$U14*0.15,
 IF(G$1=Winner!$G14,'Ohana Matches'!$U14*0.12,
 IF(G$1=Winner!$H14,'Ohana Matches'!$U14*0.08,0)))))</f>
        <v>0</v>
      </c>
      <c r="H14" s="30">
        <f>IF(H$1=Winner!$D14,'Ohana Matches'!$U14*0.4,
 IF(H$1=Winner!$E14,'Ohana Matches'!$U14*0.25,
 IF(H$1=Winner!$F14,'Ohana Matches'!$U14*0.15,
 IF(H$1=Winner!$G14,'Ohana Matches'!$U14*0.12,
 IF(H$1=Winner!$H14,'Ohana Matches'!$U14*0.08,0)))))</f>
        <v>0</v>
      </c>
      <c r="I14" s="30">
        <f>IF(I$1=Winner!$D14,'Ohana Matches'!$U14*0.4,
 IF(I$1=Winner!$E14,'Ohana Matches'!$U14*0.25,
 IF(I$1=Winner!$F14,'Ohana Matches'!$U14*0.15,
 IF(I$1=Winner!$G14,'Ohana Matches'!$U14*0.12,
 IF(I$1=Winner!$H14,'Ohana Matches'!$U14*0.08,0)))))</f>
        <v>0</v>
      </c>
      <c r="J14" s="30">
        <f>IF(J$1=Winner!$D14,'Ohana Matches'!$U14*0.4,
 IF(J$1=Winner!$E14,'Ohana Matches'!$U14*0.25,
 IF(J$1=Winner!$F14,'Ohana Matches'!$U14*0.15,
 IF(J$1=Winner!$G14,'Ohana Matches'!$U14*0.12,
 IF(J$1=Winner!$H14,'Ohana Matches'!$U14*0.08,0)))))</f>
        <v>0</v>
      </c>
      <c r="K14" s="30">
        <f>IF(K$1=Winner!$D14,'Ohana Matches'!$U14*0.4,
 IF(K$1=Winner!$E14,'Ohana Matches'!$U14*0.25,
 IF(K$1=Winner!$F14,'Ohana Matches'!$U14*0.15,
 IF(K$1=Winner!$G14,'Ohana Matches'!$U14*0.12,
 IF(K$1=Winner!$H14,'Ohana Matches'!$U14*0.08,0)))))</f>
        <v>0</v>
      </c>
      <c r="L14" s="30">
        <f>IF(L$1=Winner!$D14,'Ohana Matches'!$U14*0.4,
 IF(L$1=Winner!$E14,'Ohana Matches'!$U14*0.25,
 IF(L$1=Winner!$F14,'Ohana Matches'!$U14*0.15,
 IF(L$1=Winner!$G14,'Ohana Matches'!$U14*0.12,
 IF(L$1=Winner!$H14,'Ohana Matches'!$U14*0.08,0)))))</f>
        <v>0</v>
      </c>
      <c r="M14" s="30">
        <f>IF(M$1=Winner!$D14,'Ohana Matches'!$U14*0.4,
 IF(M$1=Winner!$E14,'Ohana Matches'!$U14*0.25,
 IF(M$1=Winner!$F14,'Ohana Matches'!$U14*0.15,
 IF(M$1=Winner!$G14,'Ohana Matches'!$U14*0.12,
 IF(M$1=Winner!$H14,'Ohana Matches'!$U14*0.08,0)))))</f>
        <v>0</v>
      </c>
      <c r="N14" s="30">
        <f>IF(N$1=Winner!$D14,'Ohana Matches'!$U14*0.4,
 IF(N$1=Winner!$E14,'Ohana Matches'!$U14*0.25,
 IF(N$1=Winner!$F14,'Ohana Matches'!$U14*0.15,
 IF(N$1=Winner!$G14,'Ohana Matches'!$U14*0.12,
 IF(N$1=Winner!$H14,'Ohana Matches'!$U14*0.08,0)))))</f>
        <v>0</v>
      </c>
      <c r="O14" s="30">
        <f>IF(O$1=Winner!$D14,'Ohana Matches'!$U14*0.4,
 IF(O$1=Winner!$E14,'Ohana Matches'!$U14*0.25,
 IF(O$1=Winner!$F14,'Ohana Matches'!$U14*0.15,
 IF(O$1=Winner!$G14,'Ohana Matches'!$U14*0.12,
 IF(O$1=Winner!$H14,'Ohana Matches'!$U14*0.08,0)))))</f>
        <v>0</v>
      </c>
      <c r="P14" s="30">
        <f>IF(P$1=Winner!$D14,'Ohana Matches'!$U14*0.4,
 IF(P$1=Winner!$E14,'Ohana Matches'!$U14*0.25,
 IF(P$1=Winner!$F14,'Ohana Matches'!$U14*0.15,
 IF(P$1=Winner!$G14,'Ohana Matches'!$U14*0.12,
 IF(P$1=Winner!$H14,'Ohana Matches'!$U14*0.08,0)))))</f>
        <v>0</v>
      </c>
      <c r="Q14" s="30">
        <f>IF(Q$1=Winner!$D14,'Ohana Matches'!$U14*0.4,
 IF(Q$1=Winner!$E14,'Ohana Matches'!$U14*0.25,
 IF(Q$1=Winner!$F14,'Ohana Matches'!$U14*0.15,
 IF(Q$1=Winner!$G14,'Ohana Matches'!$U14*0.12,
 IF(Q$1=Winner!$H14,'Ohana Matches'!$U14*0.08,0)))))</f>
        <v>0</v>
      </c>
      <c r="R14" s="26">
        <f t="shared" si="0"/>
        <v>0</v>
      </c>
    </row>
    <row r="15" spans="1:18">
      <c r="A15" s="27">
        <v>14</v>
      </c>
      <c r="B15" s="28">
        <v>46120</v>
      </c>
      <c r="C15" s="29" t="s">
        <v>129</v>
      </c>
      <c r="D15" s="30">
        <f>IF(D$1=Winner!$D15,'Ohana Matches'!$U15*0.4,
 IF(D$1=Winner!$E15,'Ohana Matches'!$U15*0.25,
 IF(D$1=Winner!$F15,'Ohana Matches'!$U15*0.15,
 IF(D$1=Winner!$G15,'Ohana Matches'!$U15*0.12,
 IF(D$1=Winner!$H15,'Ohana Matches'!$U15*0.08,0)))))</f>
        <v>0</v>
      </c>
      <c r="E15" s="30">
        <f>IF(E$1=Winner!$D15,'Ohana Matches'!$U15*0.4,
 IF(E$1=Winner!$E15,'Ohana Matches'!$U15*0.25,
 IF(E$1=Winner!$F15,'Ohana Matches'!$U15*0.15,
 IF(E$1=Winner!$G15,'Ohana Matches'!$U15*0.12,
 IF(E$1=Winner!$H15,'Ohana Matches'!$U15*0.08,0)))))</f>
        <v>0</v>
      </c>
      <c r="F15" s="30">
        <f>IF(F$1=Winner!$D15,'Ohana Matches'!$U15*0.4,
 IF(F$1=Winner!$E15,'Ohana Matches'!$U15*0.25,
 IF(F$1=Winner!$F15,'Ohana Matches'!$U15*0.15,
 IF(F$1=Winner!$G15,'Ohana Matches'!$U15*0.12,
 IF(F$1=Winner!$H15,'Ohana Matches'!$U15*0.08,0)))))</f>
        <v>0</v>
      </c>
      <c r="G15" s="30">
        <f>IF(G$1=Winner!$D15,'Ohana Matches'!$U15*0.4,
 IF(G$1=Winner!$E15,'Ohana Matches'!$U15*0.25,
 IF(G$1=Winner!$F15,'Ohana Matches'!$U15*0.15,
 IF(G$1=Winner!$G15,'Ohana Matches'!$U15*0.12,
 IF(G$1=Winner!$H15,'Ohana Matches'!$U15*0.08,0)))))</f>
        <v>0</v>
      </c>
      <c r="H15" s="30">
        <f>IF(H$1=Winner!$D15,'Ohana Matches'!$U15*0.4,
 IF(H$1=Winner!$E15,'Ohana Matches'!$U15*0.25,
 IF(H$1=Winner!$F15,'Ohana Matches'!$U15*0.15,
 IF(H$1=Winner!$G15,'Ohana Matches'!$U15*0.12,
 IF(H$1=Winner!$H15,'Ohana Matches'!$U15*0.08,0)))))</f>
        <v>0</v>
      </c>
      <c r="I15" s="30">
        <f>IF(I$1=Winner!$D15,'Ohana Matches'!$U15*0.4,
 IF(I$1=Winner!$E15,'Ohana Matches'!$U15*0.25,
 IF(I$1=Winner!$F15,'Ohana Matches'!$U15*0.15,
 IF(I$1=Winner!$G15,'Ohana Matches'!$U15*0.12,
 IF(I$1=Winner!$H15,'Ohana Matches'!$U15*0.08,0)))))</f>
        <v>0</v>
      </c>
      <c r="J15" s="30">
        <f>IF(J$1=Winner!$D15,'Ohana Matches'!$U15*0.4,
 IF(J$1=Winner!$E15,'Ohana Matches'!$U15*0.25,
 IF(J$1=Winner!$F15,'Ohana Matches'!$U15*0.15,
 IF(J$1=Winner!$G15,'Ohana Matches'!$U15*0.12,
 IF(J$1=Winner!$H15,'Ohana Matches'!$U15*0.08,0)))))</f>
        <v>0</v>
      </c>
      <c r="K15" s="30">
        <f>IF(K$1=Winner!$D15,'Ohana Matches'!$U15*0.4,
 IF(K$1=Winner!$E15,'Ohana Matches'!$U15*0.25,
 IF(K$1=Winner!$F15,'Ohana Matches'!$U15*0.15,
 IF(K$1=Winner!$G15,'Ohana Matches'!$U15*0.12,
 IF(K$1=Winner!$H15,'Ohana Matches'!$U15*0.08,0)))))</f>
        <v>0</v>
      </c>
      <c r="L15" s="30">
        <f>IF(L$1=Winner!$D15,'Ohana Matches'!$U15*0.4,
 IF(L$1=Winner!$E15,'Ohana Matches'!$U15*0.25,
 IF(L$1=Winner!$F15,'Ohana Matches'!$U15*0.15,
 IF(L$1=Winner!$G15,'Ohana Matches'!$U15*0.12,
 IF(L$1=Winner!$H15,'Ohana Matches'!$U15*0.08,0)))))</f>
        <v>0</v>
      </c>
      <c r="M15" s="30">
        <f>IF(M$1=Winner!$D15,'Ohana Matches'!$U15*0.4,
 IF(M$1=Winner!$E15,'Ohana Matches'!$U15*0.25,
 IF(M$1=Winner!$F15,'Ohana Matches'!$U15*0.15,
 IF(M$1=Winner!$G15,'Ohana Matches'!$U15*0.12,
 IF(M$1=Winner!$H15,'Ohana Matches'!$U15*0.08,0)))))</f>
        <v>0</v>
      </c>
      <c r="N15" s="30">
        <f>IF(N$1=Winner!$D15,'Ohana Matches'!$U15*0.4,
 IF(N$1=Winner!$E15,'Ohana Matches'!$U15*0.25,
 IF(N$1=Winner!$F15,'Ohana Matches'!$U15*0.15,
 IF(N$1=Winner!$G15,'Ohana Matches'!$U15*0.12,
 IF(N$1=Winner!$H15,'Ohana Matches'!$U15*0.08,0)))))</f>
        <v>0</v>
      </c>
      <c r="O15" s="30">
        <f>IF(O$1=Winner!$D15,'Ohana Matches'!$U15*0.4,
 IF(O$1=Winner!$E15,'Ohana Matches'!$U15*0.25,
 IF(O$1=Winner!$F15,'Ohana Matches'!$U15*0.15,
 IF(O$1=Winner!$G15,'Ohana Matches'!$U15*0.12,
 IF(O$1=Winner!$H15,'Ohana Matches'!$U15*0.08,0)))))</f>
        <v>0</v>
      </c>
      <c r="P15" s="30">
        <f>IF(P$1=Winner!$D15,'Ohana Matches'!$U15*0.4,
 IF(P$1=Winner!$E15,'Ohana Matches'!$U15*0.25,
 IF(P$1=Winner!$F15,'Ohana Matches'!$U15*0.15,
 IF(P$1=Winner!$G15,'Ohana Matches'!$U15*0.12,
 IF(P$1=Winner!$H15,'Ohana Matches'!$U15*0.08,0)))))</f>
        <v>0</v>
      </c>
      <c r="Q15" s="30">
        <f>IF(Q$1=Winner!$D15,'Ohana Matches'!$U15*0.4,
 IF(Q$1=Winner!$E15,'Ohana Matches'!$U15*0.25,
 IF(Q$1=Winner!$F15,'Ohana Matches'!$U15*0.15,
 IF(Q$1=Winner!$G15,'Ohana Matches'!$U15*0.12,
 IF(Q$1=Winner!$H15,'Ohana Matches'!$U15*0.08,0)))))</f>
        <v>0</v>
      </c>
      <c r="R15" s="26">
        <f t="shared" si="0"/>
        <v>0</v>
      </c>
    </row>
    <row r="16" spans="1:18">
      <c r="A16" s="27">
        <v>15</v>
      </c>
      <c r="B16" s="28">
        <v>46121</v>
      </c>
      <c r="C16" s="29" t="s">
        <v>130</v>
      </c>
      <c r="D16" s="30">
        <f>IF(D$1=Winner!$D16,'Ohana Matches'!$U16*0.4,
 IF(D$1=Winner!$E16,'Ohana Matches'!$U16*0.25,
 IF(D$1=Winner!$F16,'Ohana Matches'!$U16*0.15,
 IF(D$1=Winner!$G16,'Ohana Matches'!$U16*0.12,
 IF(D$1=Winner!$H16,'Ohana Matches'!$U16*0.08,0)))))</f>
        <v>0</v>
      </c>
      <c r="E16" s="30">
        <f>IF(E$1=Winner!$D16,'Ohana Matches'!$U16*0.4,
 IF(E$1=Winner!$E16,'Ohana Matches'!$U16*0.25,
 IF(E$1=Winner!$F16,'Ohana Matches'!$U16*0.15,
 IF(E$1=Winner!$G16,'Ohana Matches'!$U16*0.12,
 IF(E$1=Winner!$H16,'Ohana Matches'!$U16*0.08,0)))))</f>
        <v>0</v>
      </c>
      <c r="F16" s="30">
        <f>IF(F$1=Winner!$D16,'Ohana Matches'!$U16*0.4,
 IF(F$1=Winner!$E16,'Ohana Matches'!$U16*0.25,
 IF(F$1=Winner!$F16,'Ohana Matches'!$U16*0.15,
 IF(F$1=Winner!$G16,'Ohana Matches'!$U16*0.12,
 IF(F$1=Winner!$H16,'Ohana Matches'!$U16*0.08,0)))))</f>
        <v>0</v>
      </c>
      <c r="G16" s="30">
        <f>IF(G$1=Winner!$D16,'Ohana Matches'!$U16*0.4,
 IF(G$1=Winner!$E16,'Ohana Matches'!$U16*0.25,
 IF(G$1=Winner!$F16,'Ohana Matches'!$U16*0.15,
 IF(G$1=Winner!$G16,'Ohana Matches'!$U16*0.12,
 IF(G$1=Winner!$H16,'Ohana Matches'!$U16*0.08,0)))))</f>
        <v>0</v>
      </c>
      <c r="H16" s="30">
        <f>IF(H$1=Winner!$D16,'Ohana Matches'!$U16*0.4,
 IF(H$1=Winner!$E16,'Ohana Matches'!$U16*0.25,
 IF(H$1=Winner!$F16,'Ohana Matches'!$U16*0.15,
 IF(H$1=Winner!$G16,'Ohana Matches'!$U16*0.12,
 IF(H$1=Winner!$H16,'Ohana Matches'!$U16*0.08,0)))))</f>
        <v>0</v>
      </c>
      <c r="I16" s="30">
        <f>IF(I$1=Winner!$D16,'Ohana Matches'!$U16*0.4,
 IF(I$1=Winner!$E16,'Ohana Matches'!$U16*0.25,
 IF(I$1=Winner!$F16,'Ohana Matches'!$U16*0.15,
 IF(I$1=Winner!$G16,'Ohana Matches'!$U16*0.12,
 IF(I$1=Winner!$H16,'Ohana Matches'!$U16*0.08,0)))))</f>
        <v>0</v>
      </c>
      <c r="J16" s="30">
        <f>IF(J$1=Winner!$D16,'Ohana Matches'!$U16*0.4,
 IF(J$1=Winner!$E16,'Ohana Matches'!$U16*0.25,
 IF(J$1=Winner!$F16,'Ohana Matches'!$U16*0.15,
 IF(J$1=Winner!$G16,'Ohana Matches'!$U16*0.12,
 IF(J$1=Winner!$H16,'Ohana Matches'!$U16*0.08,0)))))</f>
        <v>0</v>
      </c>
      <c r="K16" s="30">
        <f>IF(K$1=Winner!$D16,'Ohana Matches'!$U16*0.4,
 IF(K$1=Winner!$E16,'Ohana Matches'!$U16*0.25,
 IF(K$1=Winner!$F16,'Ohana Matches'!$U16*0.15,
 IF(K$1=Winner!$G16,'Ohana Matches'!$U16*0.12,
 IF(K$1=Winner!$H16,'Ohana Matches'!$U16*0.08,0)))))</f>
        <v>0</v>
      </c>
      <c r="L16" s="30">
        <f>IF(L$1=Winner!$D16,'Ohana Matches'!$U16*0.4,
 IF(L$1=Winner!$E16,'Ohana Matches'!$U16*0.25,
 IF(L$1=Winner!$F16,'Ohana Matches'!$U16*0.15,
 IF(L$1=Winner!$G16,'Ohana Matches'!$U16*0.12,
 IF(L$1=Winner!$H16,'Ohana Matches'!$U16*0.08,0)))))</f>
        <v>0</v>
      </c>
      <c r="M16" s="30">
        <f>IF(M$1=Winner!$D16,'Ohana Matches'!$U16*0.4,
 IF(M$1=Winner!$E16,'Ohana Matches'!$U16*0.25,
 IF(M$1=Winner!$F16,'Ohana Matches'!$U16*0.15,
 IF(M$1=Winner!$G16,'Ohana Matches'!$U16*0.12,
 IF(M$1=Winner!$H16,'Ohana Matches'!$U16*0.08,0)))))</f>
        <v>0</v>
      </c>
      <c r="N16" s="30">
        <f>IF(N$1=Winner!$D16,'Ohana Matches'!$U16*0.4,
 IF(N$1=Winner!$E16,'Ohana Matches'!$U16*0.25,
 IF(N$1=Winner!$F16,'Ohana Matches'!$U16*0.15,
 IF(N$1=Winner!$G16,'Ohana Matches'!$U16*0.12,
 IF(N$1=Winner!$H16,'Ohana Matches'!$U16*0.08,0)))))</f>
        <v>0</v>
      </c>
      <c r="O16" s="30">
        <f>IF(O$1=Winner!$D16,'Ohana Matches'!$U16*0.4,
 IF(O$1=Winner!$E16,'Ohana Matches'!$U16*0.25,
 IF(O$1=Winner!$F16,'Ohana Matches'!$U16*0.15,
 IF(O$1=Winner!$G16,'Ohana Matches'!$U16*0.12,
 IF(O$1=Winner!$H16,'Ohana Matches'!$U16*0.08,0)))))</f>
        <v>0</v>
      </c>
      <c r="P16" s="30">
        <f>IF(P$1=Winner!$D16,'Ohana Matches'!$U16*0.4,
 IF(P$1=Winner!$E16,'Ohana Matches'!$U16*0.25,
 IF(P$1=Winner!$F16,'Ohana Matches'!$U16*0.15,
 IF(P$1=Winner!$G16,'Ohana Matches'!$U16*0.12,
 IF(P$1=Winner!$H16,'Ohana Matches'!$U16*0.08,0)))))</f>
        <v>0</v>
      </c>
      <c r="Q16" s="30">
        <f>IF(Q$1=Winner!$D16,'Ohana Matches'!$U16*0.4,
 IF(Q$1=Winner!$E16,'Ohana Matches'!$U16*0.25,
 IF(Q$1=Winner!$F16,'Ohana Matches'!$U16*0.15,
 IF(Q$1=Winner!$G16,'Ohana Matches'!$U16*0.12,
 IF(Q$1=Winner!$H16,'Ohana Matches'!$U16*0.08,0)))))</f>
        <v>0</v>
      </c>
      <c r="R16" s="26">
        <f t="shared" si="0"/>
        <v>0</v>
      </c>
    </row>
    <row r="17" spans="1:18">
      <c r="A17" s="27">
        <v>16</v>
      </c>
      <c r="B17" s="28">
        <v>46122</v>
      </c>
      <c r="C17" s="29" t="s">
        <v>131</v>
      </c>
      <c r="D17" s="30">
        <f>IF(D$1=Winner!$D17,'Ohana Matches'!$U17*0.4,
 IF(D$1=Winner!$E17,'Ohana Matches'!$U17*0.25,
 IF(D$1=Winner!$F17,'Ohana Matches'!$U17*0.15,
 IF(D$1=Winner!$G17,'Ohana Matches'!$U17*0.12,
 IF(D$1=Winner!$H17,'Ohana Matches'!$U17*0.08,0)))))</f>
        <v>0</v>
      </c>
      <c r="E17" s="30">
        <f>IF(E$1=Winner!$D17,'Ohana Matches'!$U17*0.4,
 IF(E$1=Winner!$E17,'Ohana Matches'!$U17*0.25,
 IF(E$1=Winner!$F17,'Ohana Matches'!$U17*0.15,
 IF(E$1=Winner!$G17,'Ohana Matches'!$U17*0.12,
 IF(E$1=Winner!$H17,'Ohana Matches'!$U17*0.08,0)))))</f>
        <v>0</v>
      </c>
      <c r="F17" s="30">
        <f>IF(F$1=Winner!$D17,'Ohana Matches'!$U17*0.4,
 IF(F$1=Winner!$E17,'Ohana Matches'!$U17*0.25,
 IF(F$1=Winner!$F17,'Ohana Matches'!$U17*0.15,
 IF(F$1=Winner!$G17,'Ohana Matches'!$U17*0.12,
 IF(F$1=Winner!$H17,'Ohana Matches'!$U17*0.08,0)))))</f>
        <v>0</v>
      </c>
      <c r="G17" s="30">
        <f>IF(G$1=Winner!$D17,'Ohana Matches'!$U17*0.4,
 IF(G$1=Winner!$E17,'Ohana Matches'!$U17*0.25,
 IF(G$1=Winner!$F17,'Ohana Matches'!$U17*0.15,
 IF(G$1=Winner!$G17,'Ohana Matches'!$U17*0.12,
 IF(G$1=Winner!$H17,'Ohana Matches'!$U17*0.08,0)))))</f>
        <v>0</v>
      </c>
      <c r="H17" s="30">
        <f>IF(H$1=Winner!$D17,'Ohana Matches'!$U17*0.4,
 IF(H$1=Winner!$E17,'Ohana Matches'!$U17*0.25,
 IF(H$1=Winner!$F17,'Ohana Matches'!$U17*0.15,
 IF(H$1=Winner!$G17,'Ohana Matches'!$U17*0.12,
 IF(H$1=Winner!$H17,'Ohana Matches'!$U17*0.08,0)))))</f>
        <v>0</v>
      </c>
      <c r="I17" s="30">
        <f>IF(I$1=Winner!$D17,'Ohana Matches'!$U17*0.4,
 IF(I$1=Winner!$E17,'Ohana Matches'!$U17*0.25,
 IF(I$1=Winner!$F17,'Ohana Matches'!$U17*0.15,
 IF(I$1=Winner!$G17,'Ohana Matches'!$U17*0.12,
 IF(I$1=Winner!$H17,'Ohana Matches'!$U17*0.08,0)))))</f>
        <v>0</v>
      </c>
      <c r="J17" s="30">
        <f>IF(J$1=Winner!$D17,'Ohana Matches'!$U17*0.4,
 IF(J$1=Winner!$E17,'Ohana Matches'!$U17*0.25,
 IF(J$1=Winner!$F17,'Ohana Matches'!$U17*0.15,
 IF(J$1=Winner!$G17,'Ohana Matches'!$U17*0.12,
 IF(J$1=Winner!$H17,'Ohana Matches'!$U17*0.08,0)))))</f>
        <v>0</v>
      </c>
      <c r="K17" s="30">
        <f>IF(K$1=Winner!$D17,'Ohana Matches'!$U17*0.4,
 IF(K$1=Winner!$E17,'Ohana Matches'!$U17*0.25,
 IF(K$1=Winner!$F17,'Ohana Matches'!$U17*0.15,
 IF(K$1=Winner!$G17,'Ohana Matches'!$U17*0.12,
 IF(K$1=Winner!$H17,'Ohana Matches'!$U17*0.08,0)))))</f>
        <v>0</v>
      </c>
      <c r="L17" s="30">
        <f>IF(L$1=Winner!$D17,'Ohana Matches'!$U17*0.4,
 IF(L$1=Winner!$E17,'Ohana Matches'!$U17*0.25,
 IF(L$1=Winner!$F17,'Ohana Matches'!$U17*0.15,
 IF(L$1=Winner!$G17,'Ohana Matches'!$U17*0.12,
 IF(L$1=Winner!$H17,'Ohana Matches'!$U17*0.08,0)))))</f>
        <v>0</v>
      </c>
      <c r="M17" s="30">
        <f>IF(M$1=Winner!$D17,'Ohana Matches'!$U17*0.4,
 IF(M$1=Winner!$E17,'Ohana Matches'!$U17*0.25,
 IF(M$1=Winner!$F17,'Ohana Matches'!$U17*0.15,
 IF(M$1=Winner!$G17,'Ohana Matches'!$U17*0.12,
 IF(M$1=Winner!$H17,'Ohana Matches'!$U17*0.08,0)))))</f>
        <v>0</v>
      </c>
      <c r="N17" s="30">
        <f>IF(N$1=Winner!$D17,'Ohana Matches'!$U17*0.4,
 IF(N$1=Winner!$E17,'Ohana Matches'!$U17*0.25,
 IF(N$1=Winner!$F17,'Ohana Matches'!$U17*0.15,
 IF(N$1=Winner!$G17,'Ohana Matches'!$U17*0.12,
 IF(N$1=Winner!$H17,'Ohana Matches'!$U17*0.08,0)))))</f>
        <v>0</v>
      </c>
      <c r="O17" s="30">
        <f>IF(O$1=Winner!$D17,'Ohana Matches'!$U17*0.4,
 IF(O$1=Winner!$E17,'Ohana Matches'!$U17*0.25,
 IF(O$1=Winner!$F17,'Ohana Matches'!$U17*0.15,
 IF(O$1=Winner!$G17,'Ohana Matches'!$U17*0.12,
 IF(O$1=Winner!$H17,'Ohana Matches'!$U17*0.08,0)))))</f>
        <v>0</v>
      </c>
      <c r="P17" s="30">
        <f>IF(P$1=Winner!$D17,'Ohana Matches'!$U17*0.4,
 IF(P$1=Winner!$E17,'Ohana Matches'!$U17*0.25,
 IF(P$1=Winner!$F17,'Ohana Matches'!$U17*0.15,
 IF(P$1=Winner!$G17,'Ohana Matches'!$U17*0.12,
 IF(P$1=Winner!$H17,'Ohana Matches'!$U17*0.08,0)))))</f>
        <v>0</v>
      </c>
      <c r="Q17" s="30">
        <f>IF(Q$1=Winner!$D17,'Ohana Matches'!$U17*0.4,
 IF(Q$1=Winner!$E17,'Ohana Matches'!$U17*0.25,
 IF(Q$1=Winner!$F17,'Ohana Matches'!$U17*0.15,
 IF(Q$1=Winner!$G17,'Ohana Matches'!$U17*0.12,
 IF(Q$1=Winner!$H17,'Ohana Matches'!$U17*0.08,0)))))</f>
        <v>0</v>
      </c>
      <c r="R17" s="26">
        <f t="shared" si="0"/>
        <v>0</v>
      </c>
    </row>
    <row r="18" spans="1:18">
      <c r="A18" s="27">
        <v>17</v>
      </c>
      <c r="B18" s="28">
        <v>46123</v>
      </c>
      <c r="C18" s="29" t="s">
        <v>132</v>
      </c>
      <c r="D18" s="30">
        <f>IF(D$1=Winner!$D18,'Ohana Matches'!$U18*0.4,
 IF(D$1=Winner!$E18,'Ohana Matches'!$U18*0.25,
 IF(D$1=Winner!$F18,'Ohana Matches'!$U18*0.15,
 IF(D$1=Winner!$G18,'Ohana Matches'!$U18*0.12,
 IF(D$1=Winner!$H18,'Ohana Matches'!$U18*0.08,0)))))</f>
        <v>0</v>
      </c>
      <c r="E18" s="30">
        <f>IF(E$1=Winner!$D18,'Ohana Matches'!$U18*0.4,
 IF(E$1=Winner!$E18,'Ohana Matches'!$U18*0.25,
 IF(E$1=Winner!$F18,'Ohana Matches'!$U18*0.15,
 IF(E$1=Winner!$G18,'Ohana Matches'!$U18*0.12,
 IF(E$1=Winner!$H18,'Ohana Matches'!$U18*0.08,0)))))</f>
        <v>0</v>
      </c>
      <c r="F18" s="30">
        <f>IF(F$1=Winner!$D18,'Ohana Matches'!$U18*0.4,
 IF(F$1=Winner!$E18,'Ohana Matches'!$U18*0.25,
 IF(F$1=Winner!$F18,'Ohana Matches'!$U18*0.15,
 IF(F$1=Winner!$G18,'Ohana Matches'!$U18*0.12,
 IF(F$1=Winner!$H18,'Ohana Matches'!$U18*0.08,0)))))</f>
        <v>0</v>
      </c>
      <c r="G18" s="30">
        <f>IF(G$1=Winner!$D18,'Ohana Matches'!$U18*0.4,
 IF(G$1=Winner!$E18,'Ohana Matches'!$U18*0.25,
 IF(G$1=Winner!$F18,'Ohana Matches'!$U18*0.15,
 IF(G$1=Winner!$G18,'Ohana Matches'!$U18*0.12,
 IF(G$1=Winner!$H18,'Ohana Matches'!$U18*0.08,0)))))</f>
        <v>0</v>
      </c>
      <c r="H18" s="30">
        <f>IF(H$1=Winner!$D18,'Ohana Matches'!$U18*0.4,
 IF(H$1=Winner!$E18,'Ohana Matches'!$U18*0.25,
 IF(H$1=Winner!$F18,'Ohana Matches'!$U18*0.15,
 IF(H$1=Winner!$G18,'Ohana Matches'!$U18*0.12,
 IF(H$1=Winner!$H18,'Ohana Matches'!$U18*0.08,0)))))</f>
        <v>0</v>
      </c>
      <c r="I18" s="30">
        <f>IF(I$1=Winner!$D18,'Ohana Matches'!$U18*0.4,
 IF(I$1=Winner!$E18,'Ohana Matches'!$U18*0.25,
 IF(I$1=Winner!$F18,'Ohana Matches'!$U18*0.15,
 IF(I$1=Winner!$G18,'Ohana Matches'!$U18*0.12,
 IF(I$1=Winner!$H18,'Ohana Matches'!$U18*0.08,0)))))</f>
        <v>0</v>
      </c>
      <c r="J18" s="30">
        <f>IF(J$1=Winner!$D18,'Ohana Matches'!$U18*0.4,
 IF(J$1=Winner!$E18,'Ohana Matches'!$U18*0.25,
 IF(J$1=Winner!$F18,'Ohana Matches'!$U18*0.15,
 IF(J$1=Winner!$G18,'Ohana Matches'!$U18*0.12,
 IF(J$1=Winner!$H18,'Ohana Matches'!$U18*0.08,0)))))</f>
        <v>0</v>
      </c>
      <c r="K18" s="30">
        <f>IF(K$1=Winner!$D18,'Ohana Matches'!$U18*0.4,
 IF(K$1=Winner!$E18,'Ohana Matches'!$U18*0.25,
 IF(K$1=Winner!$F18,'Ohana Matches'!$U18*0.15,
 IF(K$1=Winner!$G18,'Ohana Matches'!$U18*0.12,
 IF(K$1=Winner!$H18,'Ohana Matches'!$U18*0.08,0)))))</f>
        <v>0</v>
      </c>
      <c r="L18" s="30">
        <f>IF(L$1=Winner!$D18,'Ohana Matches'!$U18*0.4,
 IF(L$1=Winner!$E18,'Ohana Matches'!$U18*0.25,
 IF(L$1=Winner!$F18,'Ohana Matches'!$U18*0.15,
 IF(L$1=Winner!$G18,'Ohana Matches'!$U18*0.12,
 IF(L$1=Winner!$H18,'Ohana Matches'!$U18*0.08,0)))))</f>
        <v>0</v>
      </c>
      <c r="M18" s="30">
        <f>IF(M$1=Winner!$D18,'Ohana Matches'!$U18*0.4,
 IF(M$1=Winner!$E18,'Ohana Matches'!$U18*0.25,
 IF(M$1=Winner!$F18,'Ohana Matches'!$U18*0.15,
 IF(M$1=Winner!$G18,'Ohana Matches'!$U18*0.12,
 IF(M$1=Winner!$H18,'Ohana Matches'!$U18*0.08,0)))))</f>
        <v>0</v>
      </c>
      <c r="N18" s="30">
        <f>IF(N$1=Winner!$D18,'Ohana Matches'!$U18*0.4,
 IF(N$1=Winner!$E18,'Ohana Matches'!$U18*0.25,
 IF(N$1=Winner!$F18,'Ohana Matches'!$U18*0.15,
 IF(N$1=Winner!$G18,'Ohana Matches'!$U18*0.12,
 IF(N$1=Winner!$H18,'Ohana Matches'!$U18*0.08,0)))))</f>
        <v>0</v>
      </c>
      <c r="O18" s="30">
        <f>IF(O$1=Winner!$D18,'Ohana Matches'!$U18*0.4,
 IF(O$1=Winner!$E18,'Ohana Matches'!$U18*0.25,
 IF(O$1=Winner!$F18,'Ohana Matches'!$U18*0.15,
 IF(O$1=Winner!$G18,'Ohana Matches'!$U18*0.12,
 IF(O$1=Winner!$H18,'Ohana Matches'!$U18*0.08,0)))))</f>
        <v>0</v>
      </c>
      <c r="P18" s="30">
        <f>IF(P$1=Winner!$D18,'Ohana Matches'!$U18*0.4,
 IF(P$1=Winner!$E18,'Ohana Matches'!$U18*0.25,
 IF(P$1=Winner!$F18,'Ohana Matches'!$U18*0.15,
 IF(P$1=Winner!$G18,'Ohana Matches'!$U18*0.12,
 IF(P$1=Winner!$H18,'Ohana Matches'!$U18*0.08,0)))))</f>
        <v>0</v>
      </c>
      <c r="Q18" s="30">
        <f>IF(Q$1=Winner!$D18,'Ohana Matches'!$U18*0.4,
 IF(Q$1=Winner!$E18,'Ohana Matches'!$U18*0.25,
 IF(Q$1=Winner!$F18,'Ohana Matches'!$U18*0.15,
 IF(Q$1=Winner!$G18,'Ohana Matches'!$U18*0.12,
 IF(Q$1=Winner!$H18,'Ohana Matches'!$U18*0.08,0)))))</f>
        <v>0</v>
      </c>
      <c r="R18" s="26">
        <f t="shared" si="0"/>
        <v>0</v>
      </c>
    </row>
    <row r="19" spans="1:18">
      <c r="A19" s="27">
        <v>18</v>
      </c>
      <c r="B19" s="28">
        <v>46123</v>
      </c>
      <c r="C19" s="29" t="s">
        <v>133</v>
      </c>
      <c r="D19" s="30">
        <f>IF(D$1=Winner!$D19,'Ohana Matches'!$U19*0.4,
 IF(D$1=Winner!$E19,'Ohana Matches'!$U19*0.25,
 IF(D$1=Winner!$F19,'Ohana Matches'!$U19*0.15,
 IF(D$1=Winner!$G19,'Ohana Matches'!$U19*0.12,
 IF(D$1=Winner!$H19,'Ohana Matches'!$U19*0.08,0)))))</f>
        <v>0</v>
      </c>
      <c r="E19" s="30">
        <f>IF(E$1=Winner!$D19,'Ohana Matches'!$U19*0.4,
 IF(E$1=Winner!$E19,'Ohana Matches'!$U19*0.25,
 IF(E$1=Winner!$F19,'Ohana Matches'!$U19*0.15,
 IF(E$1=Winner!$G19,'Ohana Matches'!$U19*0.12,
 IF(E$1=Winner!$H19,'Ohana Matches'!$U19*0.08,0)))))</f>
        <v>0</v>
      </c>
      <c r="F19" s="30">
        <f>IF(F$1=Winner!$D19,'Ohana Matches'!$U19*0.4,
 IF(F$1=Winner!$E19,'Ohana Matches'!$U19*0.25,
 IF(F$1=Winner!$F19,'Ohana Matches'!$U19*0.15,
 IF(F$1=Winner!$G19,'Ohana Matches'!$U19*0.12,
 IF(F$1=Winner!$H19,'Ohana Matches'!$U19*0.08,0)))))</f>
        <v>0</v>
      </c>
      <c r="G19" s="30">
        <f>IF(G$1=Winner!$D19,'Ohana Matches'!$U19*0.4,
 IF(G$1=Winner!$E19,'Ohana Matches'!$U19*0.25,
 IF(G$1=Winner!$F19,'Ohana Matches'!$U19*0.15,
 IF(G$1=Winner!$G19,'Ohana Matches'!$U19*0.12,
 IF(G$1=Winner!$H19,'Ohana Matches'!$U19*0.08,0)))))</f>
        <v>0</v>
      </c>
      <c r="H19" s="30">
        <f>IF(H$1=Winner!$D19,'Ohana Matches'!$U19*0.4,
 IF(H$1=Winner!$E19,'Ohana Matches'!$U19*0.25,
 IF(H$1=Winner!$F19,'Ohana Matches'!$U19*0.15,
 IF(H$1=Winner!$G19,'Ohana Matches'!$U19*0.12,
 IF(H$1=Winner!$H19,'Ohana Matches'!$U19*0.08,0)))))</f>
        <v>0</v>
      </c>
      <c r="I19" s="30">
        <f>IF(I$1=Winner!$D19,'Ohana Matches'!$U19*0.4,
 IF(I$1=Winner!$E19,'Ohana Matches'!$U19*0.25,
 IF(I$1=Winner!$F19,'Ohana Matches'!$U19*0.15,
 IF(I$1=Winner!$G19,'Ohana Matches'!$U19*0.12,
 IF(I$1=Winner!$H19,'Ohana Matches'!$U19*0.08,0)))))</f>
        <v>0</v>
      </c>
      <c r="J19" s="30">
        <f>IF(J$1=Winner!$D19,'Ohana Matches'!$U19*0.4,
 IF(J$1=Winner!$E19,'Ohana Matches'!$U19*0.25,
 IF(J$1=Winner!$F19,'Ohana Matches'!$U19*0.15,
 IF(J$1=Winner!$G19,'Ohana Matches'!$U19*0.12,
 IF(J$1=Winner!$H19,'Ohana Matches'!$U19*0.08,0)))))</f>
        <v>0</v>
      </c>
      <c r="K19" s="30">
        <f>IF(K$1=Winner!$D19,'Ohana Matches'!$U19*0.4,
 IF(K$1=Winner!$E19,'Ohana Matches'!$U19*0.25,
 IF(K$1=Winner!$F19,'Ohana Matches'!$U19*0.15,
 IF(K$1=Winner!$G19,'Ohana Matches'!$U19*0.12,
 IF(K$1=Winner!$H19,'Ohana Matches'!$U19*0.08,0)))))</f>
        <v>0</v>
      </c>
      <c r="L19" s="30">
        <f>IF(L$1=Winner!$D19,'Ohana Matches'!$U19*0.4,
 IF(L$1=Winner!$E19,'Ohana Matches'!$U19*0.25,
 IF(L$1=Winner!$F19,'Ohana Matches'!$U19*0.15,
 IF(L$1=Winner!$G19,'Ohana Matches'!$U19*0.12,
 IF(L$1=Winner!$H19,'Ohana Matches'!$U19*0.08,0)))))</f>
        <v>0</v>
      </c>
      <c r="M19" s="30">
        <f>IF(M$1=Winner!$D19,'Ohana Matches'!$U19*0.4,
 IF(M$1=Winner!$E19,'Ohana Matches'!$U19*0.25,
 IF(M$1=Winner!$F19,'Ohana Matches'!$U19*0.15,
 IF(M$1=Winner!$G19,'Ohana Matches'!$U19*0.12,
 IF(M$1=Winner!$H19,'Ohana Matches'!$U19*0.08,0)))))</f>
        <v>0</v>
      </c>
      <c r="N19" s="30">
        <f>IF(N$1=Winner!$D19,'Ohana Matches'!$U19*0.4,
 IF(N$1=Winner!$E19,'Ohana Matches'!$U19*0.25,
 IF(N$1=Winner!$F19,'Ohana Matches'!$U19*0.15,
 IF(N$1=Winner!$G19,'Ohana Matches'!$U19*0.12,
 IF(N$1=Winner!$H19,'Ohana Matches'!$U19*0.08,0)))))</f>
        <v>0</v>
      </c>
      <c r="O19" s="30">
        <f>IF(O$1=Winner!$D19,'Ohana Matches'!$U19*0.4,
 IF(O$1=Winner!$E19,'Ohana Matches'!$U19*0.25,
 IF(O$1=Winner!$F19,'Ohana Matches'!$U19*0.15,
 IF(O$1=Winner!$G19,'Ohana Matches'!$U19*0.12,
 IF(O$1=Winner!$H19,'Ohana Matches'!$U19*0.08,0)))))</f>
        <v>0</v>
      </c>
      <c r="P19" s="30">
        <f>IF(P$1=Winner!$D19,'Ohana Matches'!$U19*0.4,
 IF(P$1=Winner!$E19,'Ohana Matches'!$U19*0.25,
 IF(P$1=Winner!$F19,'Ohana Matches'!$U19*0.15,
 IF(P$1=Winner!$G19,'Ohana Matches'!$U19*0.12,
 IF(P$1=Winner!$H19,'Ohana Matches'!$U19*0.08,0)))))</f>
        <v>0</v>
      </c>
      <c r="Q19" s="30">
        <f>IF(Q$1=Winner!$D19,'Ohana Matches'!$U19*0.4,
 IF(Q$1=Winner!$E19,'Ohana Matches'!$U19*0.25,
 IF(Q$1=Winner!$F19,'Ohana Matches'!$U19*0.15,
 IF(Q$1=Winner!$G19,'Ohana Matches'!$U19*0.12,
 IF(Q$1=Winner!$H19,'Ohana Matches'!$U19*0.08,0)))))</f>
        <v>0</v>
      </c>
      <c r="R19" s="26">
        <f t="shared" si="0"/>
        <v>0</v>
      </c>
    </row>
    <row r="20" spans="1:18">
      <c r="A20" s="27">
        <v>19</v>
      </c>
      <c r="B20" s="28">
        <v>46124</v>
      </c>
      <c r="C20" s="29" t="s">
        <v>134</v>
      </c>
      <c r="D20" s="30">
        <f>IF(D$1=Winner!$D20,'Ohana Matches'!$U20*0.4,
 IF(D$1=Winner!$E20,'Ohana Matches'!$U20*0.25,
 IF(D$1=Winner!$F20,'Ohana Matches'!$U20*0.15,
 IF(D$1=Winner!$G20,'Ohana Matches'!$U20*0.12,
 IF(D$1=Winner!$H20,'Ohana Matches'!$U20*0.08,0)))))</f>
        <v>0</v>
      </c>
      <c r="E20" s="30">
        <f>IF(E$1=Winner!$D20,'Ohana Matches'!$U20*0.4,
 IF(E$1=Winner!$E20,'Ohana Matches'!$U20*0.25,
 IF(E$1=Winner!$F20,'Ohana Matches'!$U20*0.15,
 IF(E$1=Winner!$G20,'Ohana Matches'!$U20*0.12,
 IF(E$1=Winner!$H20,'Ohana Matches'!$U20*0.08,0)))))</f>
        <v>0</v>
      </c>
      <c r="F20" s="30">
        <f>IF(F$1=Winner!$D20,'Ohana Matches'!$U20*0.4,
 IF(F$1=Winner!$E20,'Ohana Matches'!$U20*0.25,
 IF(F$1=Winner!$F20,'Ohana Matches'!$U20*0.15,
 IF(F$1=Winner!$G20,'Ohana Matches'!$U20*0.12,
 IF(F$1=Winner!$H20,'Ohana Matches'!$U20*0.08,0)))))</f>
        <v>0</v>
      </c>
      <c r="G20" s="30">
        <f>IF(G$1=Winner!$D20,'Ohana Matches'!$U20*0.4,
 IF(G$1=Winner!$E20,'Ohana Matches'!$U20*0.25,
 IF(G$1=Winner!$F20,'Ohana Matches'!$U20*0.15,
 IF(G$1=Winner!$G20,'Ohana Matches'!$U20*0.12,
 IF(G$1=Winner!$H20,'Ohana Matches'!$U20*0.08,0)))))</f>
        <v>0</v>
      </c>
      <c r="H20" s="30">
        <f>IF(H$1=Winner!$D20,'Ohana Matches'!$U20*0.4,
 IF(H$1=Winner!$E20,'Ohana Matches'!$U20*0.25,
 IF(H$1=Winner!$F20,'Ohana Matches'!$U20*0.15,
 IF(H$1=Winner!$G20,'Ohana Matches'!$U20*0.12,
 IF(H$1=Winner!$H20,'Ohana Matches'!$U20*0.08,0)))))</f>
        <v>0</v>
      </c>
      <c r="I20" s="30">
        <f>IF(I$1=Winner!$D20,'Ohana Matches'!$U20*0.4,
 IF(I$1=Winner!$E20,'Ohana Matches'!$U20*0.25,
 IF(I$1=Winner!$F20,'Ohana Matches'!$U20*0.15,
 IF(I$1=Winner!$G20,'Ohana Matches'!$U20*0.12,
 IF(I$1=Winner!$H20,'Ohana Matches'!$U20*0.08,0)))))</f>
        <v>0</v>
      </c>
      <c r="J20" s="30">
        <f>IF(J$1=Winner!$D20,'Ohana Matches'!$U20*0.4,
 IF(J$1=Winner!$E20,'Ohana Matches'!$U20*0.25,
 IF(J$1=Winner!$F20,'Ohana Matches'!$U20*0.15,
 IF(J$1=Winner!$G20,'Ohana Matches'!$U20*0.12,
 IF(J$1=Winner!$H20,'Ohana Matches'!$U20*0.08,0)))))</f>
        <v>0</v>
      </c>
      <c r="K20" s="30">
        <f>IF(K$1=Winner!$D20,'Ohana Matches'!$U20*0.4,
 IF(K$1=Winner!$E20,'Ohana Matches'!$U20*0.25,
 IF(K$1=Winner!$F20,'Ohana Matches'!$U20*0.15,
 IF(K$1=Winner!$G20,'Ohana Matches'!$U20*0.12,
 IF(K$1=Winner!$H20,'Ohana Matches'!$U20*0.08,0)))))</f>
        <v>0</v>
      </c>
      <c r="L20" s="30">
        <f>IF(L$1=Winner!$D20,'Ohana Matches'!$U20*0.4,
 IF(L$1=Winner!$E20,'Ohana Matches'!$U20*0.25,
 IF(L$1=Winner!$F20,'Ohana Matches'!$U20*0.15,
 IF(L$1=Winner!$G20,'Ohana Matches'!$U20*0.12,
 IF(L$1=Winner!$H20,'Ohana Matches'!$U20*0.08,0)))))</f>
        <v>0</v>
      </c>
      <c r="M20" s="30">
        <f>IF(M$1=Winner!$D20,'Ohana Matches'!$U20*0.4,
 IF(M$1=Winner!$E20,'Ohana Matches'!$U20*0.25,
 IF(M$1=Winner!$F20,'Ohana Matches'!$U20*0.15,
 IF(M$1=Winner!$G20,'Ohana Matches'!$U20*0.12,
 IF(M$1=Winner!$H20,'Ohana Matches'!$U20*0.08,0)))))</f>
        <v>0</v>
      </c>
      <c r="N20" s="30">
        <f>IF(N$1=Winner!$D20,'Ohana Matches'!$U20*0.4,
 IF(N$1=Winner!$E20,'Ohana Matches'!$U20*0.25,
 IF(N$1=Winner!$F20,'Ohana Matches'!$U20*0.15,
 IF(N$1=Winner!$G20,'Ohana Matches'!$U20*0.12,
 IF(N$1=Winner!$H20,'Ohana Matches'!$U20*0.08,0)))))</f>
        <v>0</v>
      </c>
      <c r="O20" s="30">
        <f>IF(O$1=Winner!$D20,'Ohana Matches'!$U20*0.4,
 IF(O$1=Winner!$E20,'Ohana Matches'!$U20*0.25,
 IF(O$1=Winner!$F20,'Ohana Matches'!$U20*0.15,
 IF(O$1=Winner!$G20,'Ohana Matches'!$U20*0.12,
 IF(O$1=Winner!$H20,'Ohana Matches'!$U20*0.08,0)))))</f>
        <v>0</v>
      </c>
      <c r="P20" s="30">
        <f>IF(P$1=Winner!$D20,'Ohana Matches'!$U20*0.4,
 IF(P$1=Winner!$E20,'Ohana Matches'!$U20*0.25,
 IF(P$1=Winner!$F20,'Ohana Matches'!$U20*0.15,
 IF(P$1=Winner!$G20,'Ohana Matches'!$U20*0.12,
 IF(P$1=Winner!$H20,'Ohana Matches'!$U20*0.08,0)))))</f>
        <v>0</v>
      </c>
      <c r="Q20" s="30">
        <f>IF(Q$1=Winner!$D20,'Ohana Matches'!$U20*0.4,
 IF(Q$1=Winner!$E20,'Ohana Matches'!$U20*0.25,
 IF(Q$1=Winner!$F20,'Ohana Matches'!$U20*0.15,
 IF(Q$1=Winner!$G20,'Ohana Matches'!$U20*0.12,
 IF(Q$1=Winner!$H20,'Ohana Matches'!$U20*0.08,0)))))</f>
        <v>0</v>
      </c>
      <c r="R20" s="26">
        <f t="shared" si="0"/>
        <v>0</v>
      </c>
    </row>
    <row r="21" spans="1:18">
      <c r="A21" s="27">
        <v>20</v>
      </c>
      <c r="B21" s="28">
        <v>46124</v>
      </c>
      <c r="C21" s="29" t="s">
        <v>135</v>
      </c>
      <c r="D21" s="30">
        <f>IF(D$1=Winner!$D21,'Ohana Matches'!$U21*0.4,
 IF(D$1=Winner!$E21,'Ohana Matches'!$U21*0.25,
 IF(D$1=Winner!$F21,'Ohana Matches'!$U21*0.15,
 IF(D$1=Winner!$G21,'Ohana Matches'!$U21*0.12,
 IF(D$1=Winner!$H21,'Ohana Matches'!$U21*0.08,0)))))</f>
        <v>0</v>
      </c>
      <c r="E21" s="30">
        <f>IF(E$1=Winner!$D21,'Ohana Matches'!$U21*0.4,
 IF(E$1=Winner!$E21,'Ohana Matches'!$U21*0.25,
 IF(E$1=Winner!$F21,'Ohana Matches'!$U21*0.15,
 IF(E$1=Winner!$G21,'Ohana Matches'!$U21*0.12,
 IF(E$1=Winner!$H21,'Ohana Matches'!$U21*0.08,0)))))</f>
        <v>0</v>
      </c>
      <c r="F21" s="30">
        <f>IF(F$1=Winner!$D21,'Ohana Matches'!$U21*0.4,
 IF(F$1=Winner!$E21,'Ohana Matches'!$U21*0.25,
 IF(F$1=Winner!$F21,'Ohana Matches'!$U21*0.15,
 IF(F$1=Winner!$G21,'Ohana Matches'!$U21*0.12,
 IF(F$1=Winner!$H21,'Ohana Matches'!$U21*0.08,0)))))</f>
        <v>0</v>
      </c>
      <c r="G21" s="30">
        <f>IF(G$1=Winner!$D21,'Ohana Matches'!$U21*0.4,
 IF(G$1=Winner!$E21,'Ohana Matches'!$U21*0.25,
 IF(G$1=Winner!$F21,'Ohana Matches'!$U21*0.15,
 IF(G$1=Winner!$G21,'Ohana Matches'!$U21*0.12,
 IF(G$1=Winner!$H21,'Ohana Matches'!$U21*0.08,0)))))</f>
        <v>0</v>
      </c>
      <c r="H21" s="30">
        <f>IF(H$1=Winner!$D21,'Ohana Matches'!$U21*0.4,
 IF(H$1=Winner!$E21,'Ohana Matches'!$U21*0.25,
 IF(H$1=Winner!$F21,'Ohana Matches'!$U21*0.15,
 IF(H$1=Winner!$G21,'Ohana Matches'!$U21*0.12,
 IF(H$1=Winner!$H21,'Ohana Matches'!$U21*0.08,0)))))</f>
        <v>0</v>
      </c>
      <c r="I21" s="30">
        <f>IF(I$1=Winner!$D21,'Ohana Matches'!$U21*0.4,
 IF(I$1=Winner!$E21,'Ohana Matches'!$U21*0.25,
 IF(I$1=Winner!$F21,'Ohana Matches'!$U21*0.15,
 IF(I$1=Winner!$G21,'Ohana Matches'!$U21*0.12,
 IF(I$1=Winner!$H21,'Ohana Matches'!$U21*0.08,0)))))</f>
        <v>0</v>
      </c>
      <c r="J21" s="30">
        <f>IF(J$1=Winner!$D21,'Ohana Matches'!$U21*0.4,
 IF(J$1=Winner!$E21,'Ohana Matches'!$U21*0.25,
 IF(J$1=Winner!$F21,'Ohana Matches'!$U21*0.15,
 IF(J$1=Winner!$G21,'Ohana Matches'!$U21*0.12,
 IF(J$1=Winner!$H21,'Ohana Matches'!$U21*0.08,0)))))</f>
        <v>0</v>
      </c>
      <c r="K21" s="30">
        <f>IF(K$1=Winner!$D21,'Ohana Matches'!$U21*0.4,
 IF(K$1=Winner!$E21,'Ohana Matches'!$U21*0.25,
 IF(K$1=Winner!$F21,'Ohana Matches'!$U21*0.15,
 IF(K$1=Winner!$G21,'Ohana Matches'!$U21*0.12,
 IF(K$1=Winner!$H21,'Ohana Matches'!$U21*0.08,0)))))</f>
        <v>0</v>
      </c>
      <c r="L21" s="30">
        <f>IF(L$1=Winner!$D21,'Ohana Matches'!$U21*0.4,
 IF(L$1=Winner!$E21,'Ohana Matches'!$U21*0.25,
 IF(L$1=Winner!$F21,'Ohana Matches'!$U21*0.15,
 IF(L$1=Winner!$G21,'Ohana Matches'!$U21*0.12,
 IF(L$1=Winner!$H21,'Ohana Matches'!$U21*0.08,0)))))</f>
        <v>0</v>
      </c>
      <c r="M21" s="30">
        <f>IF(M$1=Winner!$D21,'Ohana Matches'!$U21*0.4,
 IF(M$1=Winner!$E21,'Ohana Matches'!$U21*0.25,
 IF(M$1=Winner!$F21,'Ohana Matches'!$U21*0.15,
 IF(M$1=Winner!$G21,'Ohana Matches'!$U21*0.12,
 IF(M$1=Winner!$H21,'Ohana Matches'!$U21*0.08,0)))))</f>
        <v>0</v>
      </c>
      <c r="N21" s="30">
        <f>IF(N$1=Winner!$D21,'Ohana Matches'!$U21*0.4,
 IF(N$1=Winner!$E21,'Ohana Matches'!$U21*0.25,
 IF(N$1=Winner!$F21,'Ohana Matches'!$U21*0.15,
 IF(N$1=Winner!$G21,'Ohana Matches'!$U21*0.12,
 IF(N$1=Winner!$H21,'Ohana Matches'!$U21*0.08,0)))))</f>
        <v>0</v>
      </c>
      <c r="O21" s="30">
        <f>IF(O$1=Winner!$D21,'Ohana Matches'!$U21*0.4,
 IF(O$1=Winner!$E21,'Ohana Matches'!$U21*0.25,
 IF(O$1=Winner!$F21,'Ohana Matches'!$U21*0.15,
 IF(O$1=Winner!$G21,'Ohana Matches'!$U21*0.12,
 IF(O$1=Winner!$H21,'Ohana Matches'!$U21*0.08,0)))))</f>
        <v>0</v>
      </c>
      <c r="P21" s="30">
        <f>IF(P$1=Winner!$D21,'Ohana Matches'!$U21*0.4,
 IF(P$1=Winner!$E21,'Ohana Matches'!$U21*0.25,
 IF(P$1=Winner!$F21,'Ohana Matches'!$U21*0.15,
 IF(P$1=Winner!$G21,'Ohana Matches'!$U21*0.12,
 IF(P$1=Winner!$H21,'Ohana Matches'!$U21*0.08,0)))))</f>
        <v>0</v>
      </c>
      <c r="Q21" s="30">
        <f>IF(Q$1=Winner!$D21,'Ohana Matches'!$U21*0.4,
 IF(Q$1=Winner!$E21,'Ohana Matches'!$U21*0.25,
 IF(Q$1=Winner!$F21,'Ohana Matches'!$U21*0.15,
 IF(Q$1=Winner!$G21,'Ohana Matches'!$U21*0.12,
 IF(Q$1=Winner!$H21,'Ohana Matches'!$U21*0.08,0)))))</f>
        <v>0</v>
      </c>
      <c r="R21" s="26">
        <f t="shared" si="0"/>
        <v>0</v>
      </c>
    </row>
    <row r="22" spans="1:18">
      <c r="A22" s="27">
        <v>21</v>
      </c>
      <c r="B22" s="28">
        <v>46125</v>
      </c>
      <c r="C22" s="29" t="s">
        <v>136</v>
      </c>
      <c r="D22" s="30">
        <f>IF(D$1=Winner!$D22,'Ohana Matches'!$U22*0.4,
 IF(D$1=Winner!$E22,'Ohana Matches'!$U22*0.25,
 IF(D$1=Winner!$F22,'Ohana Matches'!$U22*0.15,
 IF(D$1=Winner!$G22,'Ohana Matches'!$U22*0.12,
 IF(D$1=Winner!$H22,'Ohana Matches'!$U22*0.08,0)))))</f>
        <v>0</v>
      </c>
      <c r="E22" s="30">
        <f>IF(E$1=Winner!$D22,'Ohana Matches'!$U22*0.4,
 IF(E$1=Winner!$E22,'Ohana Matches'!$U22*0.25,
 IF(E$1=Winner!$F22,'Ohana Matches'!$U22*0.15,
 IF(E$1=Winner!$G22,'Ohana Matches'!$U22*0.12,
 IF(E$1=Winner!$H22,'Ohana Matches'!$U22*0.08,0)))))</f>
        <v>0</v>
      </c>
      <c r="F22" s="30">
        <f>IF(F$1=Winner!$D22,'Ohana Matches'!$U22*0.4,
 IF(F$1=Winner!$E22,'Ohana Matches'!$U22*0.25,
 IF(F$1=Winner!$F22,'Ohana Matches'!$U22*0.15,
 IF(F$1=Winner!$G22,'Ohana Matches'!$U22*0.12,
 IF(F$1=Winner!$H22,'Ohana Matches'!$U22*0.08,0)))))</f>
        <v>0</v>
      </c>
      <c r="G22" s="30">
        <f>IF(G$1=Winner!$D22,'Ohana Matches'!$U22*0.4,
 IF(G$1=Winner!$E22,'Ohana Matches'!$U22*0.25,
 IF(G$1=Winner!$F22,'Ohana Matches'!$U22*0.15,
 IF(G$1=Winner!$G22,'Ohana Matches'!$U22*0.12,
 IF(G$1=Winner!$H22,'Ohana Matches'!$U22*0.08,0)))))</f>
        <v>0</v>
      </c>
      <c r="H22" s="30">
        <f>IF(H$1=Winner!$D22,'Ohana Matches'!$U22*0.4,
 IF(H$1=Winner!$E22,'Ohana Matches'!$U22*0.25,
 IF(H$1=Winner!$F22,'Ohana Matches'!$U22*0.15,
 IF(H$1=Winner!$G22,'Ohana Matches'!$U22*0.12,
 IF(H$1=Winner!$H22,'Ohana Matches'!$U22*0.08,0)))))</f>
        <v>0</v>
      </c>
      <c r="I22" s="30">
        <f>IF(I$1=Winner!$D22,'Ohana Matches'!$U22*0.4,
 IF(I$1=Winner!$E22,'Ohana Matches'!$U22*0.25,
 IF(I$1=Winner!$F22,'Ohana Matches'!$U22*0.15,
 IF(I$1=Winner!$G22,'Ohana Matches'!$U22*0.12,
 IF(I$1=Winner!$H22,'Ohana Matches'!$U22*0.08,0)))))</f>
        <v>0</v>
      </c>
      <c r="J22" s="30">
        <f>IF(J$1=Winner!$D22,'Ohana Matches'!$U22*0.4,
 IF(J$1=Winner!$E22,'Ohana Matches'!$U22*0.25,
 IF(J$1=Winner!$F22,'Ohana Matches'!$U22*0.15,
 IF(J$1=Winner!$G22,'Ohana Matches'!$U22*0.12,
 IF(J$1=Winner!$H22,'Ohana Matches'!$U22*0.08,0)))))</f>
        <v>0</v>
      </c>
      <c r="K22" s="30">
        <f>IF(K$1=Winner!$D22,'Ohana Matches'!$U22*0.4,
 IF(K$1=Winner!$E22,'Ohana Matches'!$U22*0.25,
 IF(K$1=Winner!$F22,'Ohana Matches'!$U22*0.15,
 IF(K$1=Winner!$G22,'Ohana Matches'!$U22*0.12,
 IF(K$1=Winner!$H22,'Ohana Matches'!$U22*0.08,0)))))</f>
        <v>0</v>
      </c>
      <c r="L22" s="30">
        <f>IF(L$1=Winner!$D22,'Ohana Matches'!$U22*0.4,
 IF(L$1=Winner!$E22,'Ohana Matches'!$U22*0.25,
 IF(L$1=Winner!$F22,'Ohana Matches'!$U22*0.15,
 IF(L$1=Winner!$G22,'Ohana Matches'!$U22*0.12,
 IF(L$1=Winner!$H22,'Ohana Matches'!$U22*0.08,0)))))</f>
        <v>0</v>
      </c>
      <c r="M22" s="30">
        <f>IF(M$1=Winner!$D22,'Ohana Matches'!$U22*0.4,
 IF(M$1=Winner!$E22,'Ohana Matches'!$U22*0.25,
 IF(M$1=Winner!$F22,'Ohana Matches'!$U22*0.15,
 IF(M$1=Winner!$G22,'Ohana Matches'!$U22*0.12,
 IF(M$1=Winner!$H22,'Ohana Matches'!$U22*0.08,0)))))</f>
        <v>0</v>
      </c>
      <c r="N22" s="30">
        <f>IF(N$1=Winner!$D22,'Ohana Matches'!$U22*0.4,
 IF(N$1=Winner!$E22,'Ohana Matches'!$U22*0.25,
 IF(N$1=Winner!$F22,'Ohana Matches'!$U22*0.15,
 IF(N$1=Winner!$G22,'Ohana Matches'!$U22*0.12,
 IF(N$1=Winner!$H22,'Ohana Matches'!$U22*0.08,0)))))</f>
        <v>0</v>
      </c>
      <c r="O22" s="30">
        <f>IF(O$1=Winner!$D22,'Ohana Matches'!$U22*0.4,
 IF(O$1=Winner!$E22,'Ohana Matches'!$U22*0.25,
 IF(O$1=Winner!$F22,'Ohana Matches'!$U22*0.15,
 IF(O$1=Winner!$G22,'Ohana Matches'!$U22*0.12,
 IF(O$1=Winner!$H22,'Ohana Matches'!$U22*0.08,0)))))</f>
        <v>0</v>
      </c>
      <c r="P22" s="30">
        <f>IF(P$1=Winner!$D22,'Ohana Matches'!$U22*0.4,
 IF(P$1=Winner!$E22,'Ohana Matches'!$U22*0.25,
 IF(P$1=Winner!$F22,'Ohana Matches'!$U22*0.15,
 IF(P$1=Winner!$G22,'Ohana Matches'!$U22*0.12,
 IF(P$1=Winner!$H22,'Ohana Matches'!$U22*0.08,0)))))</f>
        <v>0</v>
      </c>
      <c r="Q22" s="30">
        <f>IF(Q$1=Winner!$D22,'Ohana Matches'!$U22*0.4,
 IF(Q$1=Winner!$E22,'Ohana Matches'!$U22*0.25,
 IF(Q$1=Winner!$F22,'Ohana Matches'!$U22*0.15,
 IF(Q$1=Winner!$G22,'Ohana Matches'!$U22*0.12,
 IF(Q$1=Winner!$H22,'Ohana Matches'!$U22*0.08,0)))))</f>
        <v>0</v>
      </c>
      <c r="R22" s="26">
        <f t="shared" si="0"/>
        <v>0</v>
      </c>
    </row>
    <row r="23" spans="1:18">
      <c r="A23" s="27">
        <v>22</v>
      </c>
      <c r="B23" s="28">
        <v>46126</v>
      </c>
      <c r="C23" s="29" t="s">
        <v>137</v>
      </c>
      <c r="D23" s="30">
        <f>IF(D$1=Winner!$D23,'Ohana Matches'!$U23*0.4,
 IF(D$1=Winner!$E23,'Ohana Matches'!$U23*0.25,
 IF(D$1=Winner!$F23,'Ohana Matches'!$U23*0.15,
 IF(D$1=Winner!$G23,'Ohana Matches'!$U23*0.12,
 IF(D$1=Winner!$H23,'Ohana Matches'!$U23*0.08,0)))))</f>
        <v>0</v>
      </c>
      <c r="E23" s="30">
        <f>IF(E$1=Winner!$D23,'Ohana Matches'!$U23*0.4,
 IF(E$1=Winner!$E23,'Ohana Matches'!$U23*0.25,
 IF(E$1=Winner!$F23,'Ohana Matches'!$U23*0.15,
 IF(E$1=Winner!$G23,'Ohana Matches'!$U23*0.12,
 IF(E$1=Winner!$H23,'Ohana Matches'!$U23*0.08,0)))))</f>
        <v>0</v>
      </c>
      <c r="F23" s="30">
        <f>IF(F$1=Winner!$D23,'Ohana Matches'!$U23*0.4,
 IF(F$1=Winner!$E23,'Ohana Matches'!$U23*0.25,
 IF(F$1=Winner!$F23,'Ohana Matches'!$U23*0.15,
 IF(F$1=Winner!$G23,'Ohana Matches'!$U23*0.12,
 IF(F$1=Winner!$H23,'Ohana Matches'!$U23*0.08,0)))))</f>
        <v>0</v>
      </c>
      <c r="G23" s="30">
        <f>IF(G$1=Winner!$D23,'Ohana Matches'!$U23*0.4,
 IF(G$1=Winner!$E23,'Ohana Matches'!$U23*0.25,
 IF(G$1=Winner!$F23,'Ohana Matches'!$U23*0.15,
 IF(G$1=Winner!$G23,'Ohana Matches'!$U23*0.12,
 IF(G$1=Winner!$H23,'Ohana Matches'!$U23*0.08,0)))))</f>
        <v>0</v>
      </c>
      <c r="H23" s="30">
        <f>IF(H$1=Winner!$D23,'Ohana Matches'!$U23*0.4,
 IF(H$1=Winner!$E23,'Ohana Matches'!$U23*0.25,
 IF(H$1=Winner!$F23,'Ohana Matches'!$U23*0.15,
 IF(H$1=Winner!$G23,'Ohana Matches'!$U23*0.12,
 IF(H$1=Winner!$H23,'Ohana Matches'!$U23*0.08,0)))))</f>
        <v>0</v>
      </c>
      <c r="I23" s="30">
        <f>IF(I$1=Winner!$D23,'Ohana Matches'!$U23*0.4,
 IF(I$1=Winner!$E23,'Ohana Matches'!$U23*0.25,
 IF(I$1=Winner!$F23,'Ohana Matches'!$U23*0.15,
 IF(I$1=Winner!$G23,'Ohana Matches'!$U23*0.12,
 IF(I$1=Winner!$H23,'Ohana Matches'!$U23*0.08,0)))))</f>
        <v>0</v>
      </c>
      <c r="J23" s="30">
        <f>IF(J$1=Winner!$D23,'Ohana Matches'!$U23*0.4,
 IF(J$1=Winner!$E23,'Ohana Matches'!$U23*0.25,
 IF(J$1=Winner!$F23,'Ohana Matches'!$U23*0.15,
 IF(J$1=Winner!$G23,'Ohana Matches'!$U23*0.12,
 IF(J$1=Winner!$H23,'Ohana Matches'!$U23*0.08,0)))))</f>
        <v>0</v>
      </c>
      <c r="K23" s="30">
        <f>IF(K$1=Winner!$D23,'Ohana Matches'!$U23*0.4,
 IF(K$1=Winner!$E23,'Ohana Matches'!$U23*0.25,
 IF(K$1=Winner!$F23,'Ohana Matches'!$U23*0.15,
 IF(K$1=Winner!$G23,'Ohana Matches'!$U23*0.12,
 IF(K$1=Winner!$H23,'Ohana Matches'!$U23*0.08,0)))))</f>
        <v>0</v>
      </c>
      <c r="L23" s="30">
        <f>IF(L$1=Winner!$D23,'Ohana Matches'!$U23*0.4,
 IF(L$1=Winner!$E23,'Ohana Matches'!$U23*0.25,
 IF(L$1=Winner!$F23,'Ohana Matches'!$U23*0.15,
 IF(L$1=Winner!$G23,'Ohana Matches'!$U23*0.12,
 IF(L$1=Winner!$H23,'Ohana Matches'!$U23*0.08,0)))))</f>
        <v>0</v>
      </c>
      <c r="M23" s="30">
        <f>IF(M$1=Winner!$D23,'Ohana Matches'!$U23*0.4,
 IF(M$1=Winner!$E23,'Ohana Matches'!$U23*0.25,
 IF(M$1=Winner!$F23,'Ohana Matches'!$U23*0.15,
 IF(M$1=Winner!$G23,'Ohana Matches'!$U23*0.12,
 IF(M$1=Winner!$H23,'Ohana Matches'!$U23*0.08,0)))))</f>
        <v>0</v>
      </c>
      <c r="N23" s="30">
        <f>IF(N$1=Winner!$D23,'Ohana Matches'!$U23*0.4,
 IF(N$1=Winner!$E23,'Ohana Matches'!$U23*0.25,
 IF(N$1=Winner!$F23,'Ohana Matches'!$U23*0.15,
 IF(N$1=Winner!$G23,'Ohana Matches'!$U23*0.12,
 IF(N$1=Winner!$H23,'Ohana Matches'!$U23*0.08,0)))))</f>
        <v>0</v>
      </c>
      <c r="O23" s="30">
        <f>IF(O$1=Winner!$D23,'Ohana Matches'!$U23*0.4,
 IF(O$1=Winner!$E23,'Ohana Matches'!$U23*0.25,
 IF(O$1=Winner!$F23,'Ohana Matches'!$U23*0.15,
 IF(O$1=Winner!$G23,'Ohana Matches'!$U23*0.12,
 IF(O$1=Winner!$H23,'Ohana Matches'!$U23*0.08,0)))))</f>
        <v>0</v>
      </c>
      <c r="P23" s="30">
        <f>IF(P$1=Winner!$D23,'Ohana Matches'!$U23*0.4,
 IF(P$1=Winner!$E23,'Ohana Matches'!$U23*0.25,
 IF(P$1=Winner!$F23,'Ohana Matches'!$U23*0.15,
 IF(P$1=Winner!$G23,'Ohana Matches'!$U23*0.12,
 IF(P$1=Winner!$H23,'Ohana Matches'!$U23*0.08,0)))))</f>
        <v>0</v>
      </c>
      <c r="Q23" s="30">
        <f>IF(Q$1=Winner!$D23,'Ohana Matches'!$U23*0.4,
 IF(Q$1=Winner!$E23,'Ohana Matches'!$U23*0.25,
 IF(Q$1=Winner!$F23,'Ohana Matches'!$U23*0.15,
 IF(Q$1=Winner!$G23,'Ohana Matches'!$U23*0.12,
 IF(Q$1=Winner!$H23,'Ohana Matches'!$U23*0.08,0)))))</f>
        <v>0</v>
      </c>
      <c r="R23" s="26">
        <f t="shared" si="0"/>
        <v>0</v>
      </c>
    </row>
    <row r="24" spans="1:18">
      <c r="A24" s="27">
        <v>23</v>
      </c>
      <c r="B24" s="28">
        <v>46127</v>
      </c>
      <c r="C24" s="29" t="s">
        <v>138</v>
      </c>
      <c r="D24" s="30">
        <f>IF(D$1=Winner!$D24,'Ohana Matches'!$U24*0.4,
 IF(D$1=Winner!$E24,'Ohana Matches'!$U24*0.25,
 IF(D$1=Winner!$F24,'Ohana Matches'!$U24*0.15,
 IF(D$1=Winner!$G24,'Ohana Matches'!$U24*0.12,
 IF(D$1=Winner!$H24,'Ohana Matches'!$U24*0.08,0)))))</f>
        <v>0</v>
      </c>
      <c r="E24" s="30">
        <f>IF(E$1=Winner!$D24,'Ohana Matches'!$U24*0.4,
 IF(E$1=Winner!$E24,'Ohana Matches'!$U24*0.25,
 IF(E$1=Winner!$F24,'Ohana Matches'!$U24*0.15,
 IF(E$1=Winner!$G24,'Ohana Matches'!$U24*0.12,
 IF(E$1=Winner!$H24,'Ohana Matches'!$U24*0.08,0)))))</f>
        <v>0</v>
      </c>
      <c r="F24" s="30">
        <f>IF(F$1=Winner!$D24,'Ohana Matches'!$U24*0.4,
 IF(F$1=Winner!$E24,'Ohana Matches'!$U24*0.25,
 IF(F$1=Winner!$F24,'Ohana Matches'!$U24*0.15,
 IF(F$1=Winner!$G24,'Ohana Matches'!$U24*0.12,
 IF(F$1=Winner!$H24,'Ohana Matches'!$U24*0.08,0)))))</f>
        <v>0</v>
      </c>
      <c r="G24" s="30">
        <f>IF(G$1=Winner!$D24,'Ohana Matches'!$U24*0.4,
 IF(G$1=Winner!$E24,'Ohana Matches'!$U24*0.25,
 IF(G$1=Winner!$F24,'Ohana Matches'!$U24*0.15,
 IF(G$1=Winner!$G24,'Ohana Matches'!$U24*0.12,
 IF(G$1=Winner!$H24,'Ohana Matches'!$U24*0.08,0)))))</f>
        <v>0</v>
      </c>
      <c r="H24" s="30">
        <f>IF(H$1=Winner!$D24,'Ohana Matches'!$U24*0.4,
 IF(H$1=Winner!$E24,'Ohana Matches'!$U24*0.25,
 IF(H$1=Winner!$F24,'Ohana Matches'!$U24*0.15,
 IF(H$1=Winner!$G24,'Ohana Matches'!$U24*0.12,
 IF(H$1=Winner!$H24,'Ohana Matches'!$U24*0.08,0)))))</f>
        <v>0</v>
      </c>
      <c r="I24" s="30">
        <f>IF(I$1=Winner!$D24,'Ohana Matches'!$U24*0.4,
 IF(I$1=Winner!$E24,'Ohana Matches'!$U24*0.25,
 IF(I$1=Winner!$F24,'Ohana Matches'!$U24*0.15,
 IF(I$1=Winner!$G24,'Ohana Matches'!$U24*0.12,
 IF(I$1=Winner!$H24,'Ohana Matches'!$U24*0.08,0)))))</f>
        <v>0</v>
      </c>
      <c r="J24" s="30">
        <f>IF(J$1=Winner!$D24,'Ohana Matches'!$U24*0.4,
 IF(J$1=Winner!$E24,'Ohana Matches'!$U24*0.25,
 IF(J$1=Winner!$F24,'Ohana Matches'!$U24*0.15,
 IF(J$1=Winner!$G24,'Ohana Matches'!$U24*0.12,
 IF(J$1=Winner!$H24,'Ohana Matches'!$U24*0.08,0)))))</f>
        <v>0</v>
      </c>
      <c r="K24" s="30">
        <f>IF(K$1=Winner!$D24,'Ohana Matches'!$U24*0.4,
 IF(K$1=Winner!$E24,'Ohana Matches'!$U24*0.25,
 IF(K$1=Winner!$F24,'Ohana Matches'!$U24*0.15,
 IF(K$1=Winner!$G24,'Ohana Matches'!$U24*0.12,
 IF(K$1=Winner!$H24,'Ohana Matches'!$U24*0.08,0)))))</f>
        <v>0</v>
      </c>
      <c r="L24" s="30">
        <f>IF(L$1=Winner!$D24,'Ohana Matches'!$U24*0.4,
 IF(L$1=Winner!$E24,'Ohana Matches'!$U24*0.25,
 IF(L$1=Winner!$F24,'Ohana Matches'!$U24*0.15,
 IF(L$1=Winner!$G24,'Ohana Matches'!$U24*0.12,
 IF(L$1=Winner!$H24,'Ohana Matches'!$U24*0.08,0)))))</f>
        <v>0</v>
      </c>
      <c r="M24" s="30">
        <f>IF(M$1=Winner!$D24,'Ohana Matches'!$U24*0.4,
 IF(M$1=Winner!$E24,'Ohana Matches'!$U24*0.25,
 IF(M$1=Winner!$F24,'Ohana Matches'!$U24*0.15,
 IF(M$1=Winner!$G24,'Ohana Matches'!$U24*0.12,
 IF(M$1=Winner!$H24,'Ohana Matches'!$U24*0.08,0)))))</f>
        <v>0</v>
      </c>
      <c r="N24" s="30">
        <f>IF(N$1=Winner!$D24,'Ohana Matches'!$U24*0.4,
 IF(N$1=Winner!$E24,'Ohana Matches'!$U24*0.25,
 IF(N$1=Winner!$F24,'Ohana Matches'!$U24*0.15,
 IF(N$1=Winner!$G24,'Ohana Matches'!$U24*0.12,
 IF(N$1=Winner!$H24,'Ohana Matches'!$U24*0.08,0)))))</f>
        <v>0</v>
      </c>
      <c r="O24" s="30">
        <f>IF(O$1=Winner!$D24,'Ohana Matches'!$U24*0.4,
 IF(O$1=Winner!$E24,'Ohana Matches'!$U24*0.25,
 IF(O$1=Winner!$F24,'Ohana Matches'!$U24*0.15,
 IF(O$1=Winner!$G24,'Ohana Matches'!$U24*0.12,
 IF(O$1=Winner!$H24,'Ohana Matches'!$U24*0.08,0)))))</f>
        <v>0</v>
      </c>
      <c r="P24" s="30">
        <f>IF(P$1=Winner!$D24,'Ohana Matches'!$U24*0.4,
 IF(P$1=Winner!$E24,'Ohana Matches'!$U24*0.25,
 IF(P$1=Winner!$F24,'Ohana Matches'!$U24*0.15,
 IF(P$1=Winner!$G24,'Ohana Matches'!$U24*0.12,
 IF(P$1=Winner!$H24,'Ohana Matches'!$U24*0.08,0)))))</f>
        <v>0</v>
      </c>
      <c r="Q24" s="30">
        <f>IF(Q$1=Winner!$D24,'Ohana Matches'!$U24*0.4,
 IF(Q$1=Winner!$E24,'Ohana Matches'!$U24*0.25,
 IF(Q$1=Winner!$F24,'Ohana Matches'!$U24*0.15,
 IF(Q$1=Winner!$G24,'Ohana Matches'!$U24*0.12,
 IF(Q$1=Winner!$H24,'Ohana Matches'!$U24*0.08,0)))))</f>
        <v>0</v>
      </c>
      <c r="R24" s="26">
        <f t="shared" si="0"/>
        <v>0</v>
      </c>
    </row>
    <row r="25" spans="1:18">
      <c r="A25" s="27">
        <v>24</v>
      </c>
      <c r="B25" s="28">
        <v>46128</v>
      </c>
      <c r="C25" s="29" t="s">
        <v>139</v>
      </c>
      <c r="D25" s="30">
        <f>IF(D$1=Winner!$D25,'Ohana Matches'!$U25*0.4,
 IF(D$1=Winner!$E25,'Ohana Matches'!$U25*0.25,
 IF(D$1=Winner!$F25,'Ohana Matches'!$U25*0.15,
 IF(D$1=Winner!$G25,'Ohana Matches'!$U25*0.12,
 IF(D$1=Winner!$H25,'Ohana Matches'!$U25*0.08,0)))))</f>
        <v>0</v>
      </c>
      <c r="E25" s="30">
        <f>IF(E$1=Winner!$D25,'Ohana Matches'!$U25*0.4,
 IF(E$1=Winner!$E25,'Ohana Matches'!$U25*0.25,
 IF(E$1=Winner!$F25,'Ohana Matches'!$U25*0.15,
 IF(E$1=Winner!$G25,'Ohana Matches'!$U25*0.12,
 IF(E$1=Winner!$H25,'Ohana Matches'!$U25*0.08,0)))))</f>
        <v>0</v>
      </c>
      <c r="F25" s="30">
        <f>IF(F$1=Winner!$D25,'Ohana Matches'!$U25*0.4,
 IF(F$1=Winner!$E25,'Ohana Matches'!$U25*0.25,
 IF(F$1=Winner!$F25,'Ohana Matches'!$U25*0.15,
 IF(F$1=Winner!$G25,'Ohana Matches'!$U25*0.12,
 IF(F$1=Winner!$H25,'Ohana Matches'!$U25*0.08,0)))))</f>
        <v>0</v>
      </c>
      <c r="G25" s="30">
        <f>IF(G$1=Winner!$D25,'Ohana Matches'!$U25*0.4,
 IF(G$1=Winner!$E25,'Ohana Matches'!$U25*0.25,
 IF(G$1=Winner!$F25,'Ohana Matches'!$U25*0.15,
 IF(G$1=Winner!$G25,'Ohana Matches'!$U25*0.12,
 IF(G$1=Winner!$H25,'Ohana Matches'!$U25*0.08,0)))))</f>
        <v>0</v>
      </c>
      <c r="H25" s="30">
        <f>IF(H$1=Winner!$D25,'Ohana Matches'!$U25*0.4,
 IF(H$1=Winner!$E25,'Ohana Matches'!$U25*0.25,
 IF(H$1=Winner!$F25,'Ohana Matches'!$U25*0.15,
 IF(H$1=Winner!$G25,'Ohana Matches'!$U25*0.12,
 IF(H$1=Winner!$H25,'Ohana Matches'!$U25*0.08,0)))))</f>
        <v>0</v>
      </c>
      <c r="I25" s="30">
        <f>IF(I$1=Winner!$D25,'Ohana Matches'!$U25*0.4,
 IF(I$1=Winner!$E25,'Ohana Matches'!$U25*0.25,
 IF(I$1=Winner!$F25,'Ohana Matches'!$U25*0.15,
 IF(I$1=Winner!$G25,'Ohana Matches'!$U25*0.12,
 IF(I$1=Winner!$H25,'Ohana Matches'!$U25*0.08,0)))))</f>
        <v>0</v>
      </c>
      <c r="J25" s="30">
        <f>IF(J$1=Winner!$D25,'Ohana Matches'!$U25*0.4,
 IF(J$1=Winner!$E25,'Ohana Matches'!$U25*0.25,
 IF(J$1=Winner!$F25,'Ohana Matches'!$U25*0.15,
 IF(J$1=Winner!$G25,'Ohana Matches'!$U25*0.12,
 IF(J$1=Winner!$H25,'Ohana Matches'!$U25*0.08,0)))))</f>
        <v>0</v>
      </c>
      <c r="K25" s="30">
        <f>IF(K$1=Winner!$D25,'Ohana Matches'!$U25*0.4,
 IF(K$1=Winner!$E25,'Ohana Matches'!$U25*0.25,
 IF(K$1=Winner!$F25,'Ohana Matches'!$U25*0.15,
 IF(K$1=Winner!$G25,'Ohana Matches'!$U25*0.12,
 IF(K$1=Winner!$H25,'Ohana Matches'!$U25*0.08,0)))))</f>
        <v>0</v>
      </c>
      <c r="L25" s="30">
        <f>IF(L$1=Winner!$D25,'Ohana Matches'!$U25*0.4,
 IF(L$1=Winner!$E25,'Ohana Matches'!$U25*0.25,
 IF(L$1=Winner!$F25,'Ohana Matches'!$U25*0.15,
 IF(L$1=Winner!$G25,'Ohana Matches'!$U25*0.12,
 IF(L$1=Winner!$H25,'Ohana Matches'!$U25*0.08,0)))))</f>
        <v>0</v>
      </c>
      <c r="M25" s="30">
        <f>IF(M$1=Winner!$D25,'Ohana Matches'!$U25*0.4,
 IF(M$1=Winner!$E25,'Ohana Matches'!$U25*0.25,
 IF(M$1=Winner!$F25,'Ohana Matches'!$U25*0.15,
 IF(M$1=Winner!$G25,'Ohana Matches'!$U25*0.12,
 IF(M$1=Winner!$H25,'Ohana Matches'!$U25*0.08,0)))))</f>
        <v>0</v>
      </c>
      <c r="N25" s="30">
        <f>IF(N$1=Winner!$D25,'Ohana Matches'!$U25*0.4,
 IF(N$1=Winner!$E25,'Ohana Matches'!$U25*0.25,
 IF(N$1=Winner!$F25,'Ohana Matches'!$U25*0.15,
 IF(N$1=Winner!$G25,'Ohana Matches'!$U25*0.12,
 IF(N$1=Winner!$H25,'Ohana Matches'!$U25*0.08,0)))))</f>
        <v>0</v>
      </c>
      <c r="O25" s="30">
        <f>IF(O$1=Winner!$D25,'Ohana Matches'!$U25*0.4,
 IF(O$1=Winner!$E25,'Ohana Matches'!$U25*0.25,
 IF(O$1=Winner!$F25,'Ohana Matches'!$U25*0.15,
 IF(O$1=Winner!$G25,'Ohana Matches'!$U25*0.12,
 IF(O$1=Winner!$H25,'Ohana Matches'!$U25*0.08,0)))))</f>
        <v>0</v>
      </c>
      <c r="P25" s="30">
        <f>IF(P$1=Winner!$D25,'Ohana Matches'!$U25*0.4,
 IF(P$1=Winner!$E25,'Ohana Matches'!$U25*0.25,
 IF(P$1=Winner!$F25,'Ohana Matches'!$U25*0.15,
 IF(P$1=Winner!$G25,'Ohana Matches'!$U25*0.12,
 IF(P$1=Winner!$H25,'Ohana Matches'!$U25*0.08,0)))))</f>
        <v>0</v>
      </c>
      <c r="Q25" s="30">
        <f>IF(Q$1=Winner!$D25,'Ohana Matches'!$U25*0.4,
 IF(Q$1=Winner!$E25,'Ohana Matches'!$U25*0.25,
 IF(Q$1=Winner!$F25,'Ohana Matches'!$U25*0.15,
 IF(Q$1=Winner!$G25,'Ohana Matches'!$U25*0.12,
 IF(Q$1=Winner!$H25,'Ohana Matches'!$U25*0.08,0)))))</f>
        <v>0</v>
      </c>
      <c r="R25" s="26">
        <f t="shared" si="0"/>
        <v>0</v>
      </c>
    </row>
    <row r="26" spans="1:18">
      <c r="A26" s="27">
        <v>25</v>
      </c>
      <c r="B26" s="28">
        <v>46129</v>
      </c>
      <c r="C26" s="29" t="s">
        <v>140</v>
      </c>
      <c r="D26" s="30">
        <f>IF(D$1=Winner!$D26,'Ohana Matches'!$U26*0.4,
 IF(D$1=Winner!$E26,'Ohana Matches'!$U26*0.25,
 IF(D$1=Winner!$F26,'Ohana Matches'!$U26*0.15,
 IF(D$1=Winner!$G26,'Ohana Matches'!$U26*0.12,
 IF(D$1=Winner!$H26,'Ohana Matches'!$U26*0.08,0)))))</f>
        <v>0</v>
      </c>
      <c r="E26" s="30">
        <f>IF(E$1=Winner!$D26,'Ohana Matches'!$U26*0.4,
 IF(E$1=Winner!$E26,'Ohana Matches'!$U26*0.25,
 IF(E$1=Winner!$F26,'Ohana Matches'!$U26*0.15,
 IF(E$1=Winner!$G26,'Ohana Matches'!$U26*0.12,
 IF(E$1=Winner!$H26,'Ohana Matches'!$U26*0.08,0)))))</f>
        <v>0</v>
      </c>
      <c r="F26" s="30">
        <f>IF(F$1=Winner!$D26,'Ohana Matches'!$U26*0.4,
 IF(F$1=Winner!$E26,'Ohana Matches'!$U26*0.25,
 IF(F$1=Winner!$F26,'Ohana Matches'!$U26*0.15,
 IF(F$1=Winner!$G26,'Ohana Matches'!$U26*0.12,
 IF(F$1=Winner!$H26,'Ohana Matches'!$U26*0.08,0)))))</f>
        <v>0</v>
      </c>
      <c r="G26" s="30">
        <f>IF(G$1=Winner!$D26,'Ohana Matches'!$U26*0.4,
 IF(G$1=Winner!$E26,'Ohana Matches'!$U26*0.25,
 IF(G$1=Winner!$F26,'Ohana Matches'!$U26*0.15,
 IF(G$1=Winner!$G26,'Ohana Matches'!$U26*0.12,
 IF(G$1=Winner!$H26,'Ohana Matches'!$U26*0.08,0)))))</f>
        <v>0</v>
      </c>
      <c r="H26" s="30">
        <f>IF(H$1=Winner!$D26,'Ohana Matches'!$U26*0.4,
 IF(H$1=Winner!$E26,'Ohana Matches'!$U26*0.25,
 IF(H$1=Winner!$F26,'Ohana Matches'!$U26*0.15,
 IF(H$1=Winner!$G26,'Ohana Matches'!$U26*0.12,
 IF(H$1=Winner!$H26,'Ohana Matches'!$U26*0.08,0)))))</f>
        <v>0</v>
      </c>
      <c r="I26" s="30">
        <f>IF(I$1=Winner!$D26,'Ohana Matches'!$U26*0.4,
 IF(I$1=Winner!$E26,'Ohana Matches'!$U26*0.25,
 IF(I$1=Winner!$F26,'Ohana Matches'!$U26*0.15,
 IF(I$1=Winner!$G26,'Ohana Matches'!$U26*0.12,
 IF(I$1=Winner!$H26,'Ohana Matches'!$U26*0.08,0)))))</f>
        <v>0</v>
      </c>
      <c r="J26" s="30">
        <f>IF(J$1=Winner!$D26,'Ohana Matches'!$U26*0.4,
 IF(J$1=Winner!$E26,'Ohana Matches'!$U26*0.25,
 IF(J$1=Winner!$F26,'Ohana Matches'!$U26*0.15,
 IF(J$1=Winner!$G26,'Ohana Matches'!$U26*0.12,
 IF(J$1=Winner!$H26,'Ohana Matches'!$U26*0.08,0)))))</f>
        <v>0</v>
      </c>
      <c r="K26" s="30">
        <f>IF(K$1=Winner!$D26,'Ohana Matches'!$U26*0.4,
 IF(K$1=Winner!$E26,'Ohana Matches'!$U26*0.25,
 IF(K$1=Winner!$F26,'Ohana Matches'!$U26*0.15,
 IF(K$1=Winner!$G26,'Ohana Matches'!$U26*0.12,
 IF(K$1=Winner!$H26,'Ohana Matches'!$U26*0.08,0)))))</f>
        <v>0</v>
      </c>
      <c r="L26" s="30">
        <f>IF(L$1=Winner!$D26,'Ohana Matches'!$U26*0.4,
 IF(L$1=Winner!$E26,'Ohana Matches'!$U26*0.25,
 IF(L$1=Winner!$F26,'Ohana Matches'!$U26*0.15,
 IF(L$1=Winner!$G26,'Ohana Matches'!$U26*0.12,
 IF(L$1=Winner!$H26,'Ohana Matches'!$U26*0.08,0)))))</f>
        <v>0</v>
      </c>
      <c r="M26" s="30">
        <f>IF(M$1=Winner!$D26,'Ohana Matches'!$U26*0.4,
 IF(M$1=Winner!$E26,'Ohana Matches'!$U26*0.25,
 IF(M$1=Winner!$F26,'Ohana Matches'!$U26*0.15,
 IF(M$1=Winner!$G26,'Ohana Matches'!$U26*0.12,
 IF(M$1=Winner!$H26,'Ohana Matches'!$U26*0.08,0)))))</f>
        <v>0</v>
      </c>
      <c r="N26" s="30">
        <f>IF(N$1=Winner!$D26,'Ohana Matches'!$U26*0.4,
 IF(N$1=Winner!$E26,'Ohana Matches'!$U26*0.25,
 IF(N$1=Winner!$F26,'Ohana Matches'!$U26*0.15,
 IF(N$1=Winner!$G26,'Ohana Matches'!$U26*0.12,
 IF(N$1=Winner!$H26,'Ohana Matches'!$U26*0.08,0)))))</f>
        <v>0</v>
      </c>
      <c r="O26" s="30">
        <f>IF(O$1=Winner!$D26,'Ohana Matches'!$U26*0.4,
 IF(O$1=Winner!$E26,'Ohana Matches'!$U26*0.25,
 IF(O$1=Winner!$F26,'Ohana Matches'!$U26*0.15,
 IF(O$1=Winner!$G26,'Ohana Matches'!$U26*0.12,
 IF(O$1=Winner!$H26,'Ohana Matches'!$U26*0.08,0)))))</f>
        <v>0</v>
      </c>
      <c r="P26" s="30">
        <f>IF(P$1=Winner!$D26,'Ohana Matches'!$U26*0.4,
 IF(P$1=Winner!$E26,'Ohana Matches'!$U26*0.25,
 IF(P$1=Winner!$F26,'Ohana Matches'!$U26*0.15,
 IF(P$1=Winner!$G26,'Ohana Matches'!$U26*0.12,
 IF(P$1=Winner!$H26,'Ohana Matches'!$U26*0.08,0)))))</f>
        <v>0</v>
      </c>
      <c r="Q26" s="30">
        <f>IF(Q$1=Winner!$D26,'Ohana Matches'!$U26*0.4,
 IF(Q$1=Winner!$E26,'Ohana Matches'!$U26*0.25,
 IF(Q$1=Winner!$F26,'Ohana Matches'!$U26*0.15,
 IF(Q$1=Winner!$G26,'Ohana Matches'!$U26*0.12,
 IF(Q$1=Winner!$H26,'Ohana Matches'!$U26*0.08,0)))))</f>
        <v>0</v>
      </c>
      <c r="R26" s="26">
        <f t="shared" si="0"/>
        <v>0</v>
      </c>
    </row>
    <row r="27" spans="1:18">
      <c r="A27" s="27">
        <v>26</v>
      </c>
      <c r="B27" s="28">
        <v>46130</v>
      </c>
      <c r="C27" s="29" t="s">
        <v>141</v>
      </c>
      <c r="D27" s="30">
        <f>IF(D$1=Winner!$D27,'Ohana Matches'!$U27*0.4,
 IF(D$1=Winner!$E27,'Ohana Matches'!$U27*0.25,
 IF(D$1=Winner!$F27,'Ohana Matches'!$U27*0.15,
 IF(D$1=Winner!$G27,'Ohana Matches'!$U27*0.12,
 IF(D$1=Winner!$H27,'Ohana Matches'!$U27*0.08,0)))))</f>
        <v>0</v>
      </c>
      <c r="E27" s="30">
        <f>IF(E$1=Winner!$D27,'Ohana Matches'!$U27*0.4,
 IF(E$1=Winner!$E27,'Ohana Matches'!$U27*0.25,
 IF(E$1=Winner!$F27,'Ohana Matches'!$U27*0.15,
 IF(E$1=Winner!$G27,'Ohana Matches'!$U27*0.12,
 IF(E$1=Winner!$H27,'Ohana Matches'!$U27*0.08,0)))))</f>
        <v>0</v>
      </c>
      <c r="F27" s="30">
        <f>IF(F$1=Winner!$D27,'Ohana Matches'!$U27*0.4,
 IF(F$1=Winner!$E27,'Ohana Matches'!$U27*0.25,
 IF(F$1=Winner!$F27,'Ohana Matches'!$U27*0.15,
 IF(F$1=Winner!$G27,'Ohana Matches'!$U27*0.12,
 IF(F$1=Winner!$H27,'Ohana Matches'!$U27*0.08,0)))))</f>
        <v>0</v>
      </c>
      <c r="G27" s="30">
        <f>IF(G$1=Winner!$D27,'Ohana Matches'!$U27*0.4,
 IF(G$1=Winner!$E27,'Ohana Matches'!$U27*0.25,
 IF(G$1=Winner!$F27,'Ohana Matches'!$U27*0.15,
 IF(G$1=Winner!$G27,'Ohana Matches'!$U27*0.12,
 IF(G$1=Winner!$H27,'Ohana Matches'!$U27*0.08,0)))))</f>
        <v>0</v>
      </c>
      <c r="H27" s="30">
        <f>IF(H$1=Winner!$D27,'Ohana Matches'!$U27*0.4,
 IF(H$1=Winner!$E27,'Ohana Matches'!$U27*0.25,
 IF(H$1=Winner!$F27,'Ohana Matches'!$U27*0.15,
 IF(H$1=Winner!$G27,'Ohana Matches'!$U27*0.12,
 IF(H$1=Winner!$H27,'Ohana Matches'!$U27*0.08,0)))))</f>
        <v>0</v>
      </c>
      <c r="I27" s="30">
        <f>IF(I$1=Winner!$D27,'Ohana Matches'!$U27*0.4,
 IF(I$1=Winner!$E27,'Ohana Matches'!$U27*0.25,
 IF(I$1=Winner!$F27,'Ohana Matches'!$U27*0.15,
 IF(I$1=Winner!$G27,'Ohana Matches'!$U27*0.12,
 IF(I$1=Winner!$H27,'Ohana Matches'!$U27*0.08,0)))))</f>
        <v>0</v>
      </c>
      <c r="J27" s="30">
        <f>IF(J$1=Winner!$D27,'Ohana Matches'!$U27*0.4,
 IF(J$1=Winner!$E27,'Ohana Matches'!$U27*0.25,
 IF(J$1=Winner!$F27,'Ohana Matches'!$U27*0.15,
 IF(J$1=Winner!$G27,'Ohana Matches'!$U27*0.12,
 IF(J$1=Winner!$H27,'Ohana Matches'!$U27*0.08,0)))))</f>
        <v>0</v>
      </c>
      <c r="K27" s="30">
        <f>IF(K$1=Winner!$D27,'Ohana Matches'!$U27*0.4,
 IF(K$1=Winner!$E27,'Ohana Matches'!$U27*0.25,
 IF(K$1=Winner!$F27,'Ohana Matches'!$U27*0.15,
 IF(K$1=Winner!$G27,'Ohana Matches'!$U27*0.12,
 IF(K$1=Winner!$H27,'Ohana Matches'!$U27*0.08,0)))))</f>
        <v>0</v>
      </c>
      <c r="L27" s="30">
        <f>IF(L$1=Winner!$D27,'Ohana Matches'!$U27*0.4,
 IF(L$1=Winner!$E27,'Ohana Matches'!$U27*0.25,
 IF(L$1=Winner!$F27,'Ohana Matches'!$U27*0.15,
 IF(L$1=Winner!$G27,'Ohana Matches'!$U27*0.12,
 IF(L$1=Winner!$H27,'Ohana Matches'!$U27*0.08,0)))))</f>
        <v>0</v>
      </c>
      <c r="M27" s="30">
        <f>IF(M$1=Winner!$D27,'Ohana Matches'!$U27*0.4,
 IF(M$1=Winner!$E27,'Ohana Matches'!$U27*0.25,
 IF(M$1=Winner!$F27,'Ohana Matches'!$U27*0.15,
 IF(M$1=Winner!$G27,'Ohana Matches'!$U27*0.12,
 IF(M$1=Winner!$H27,'Ohana Matches'!$U27*0.08,0)))))</f>
        <v>0</v>
      </c>
      <c r="N27" s="30">
        <f>IF(N$1=Winner!$D27,'Ohana Matches'!$U27*0.4,
 IF(N$1=Winner!$E27,'Ohana Matches'!$U27*0.25,
 IF(N$1=Winner!$F27,'Ohana Matches'!$U27*0.15,
 IF(N$1=Winner!$G27,'Ohana Matches'!$U27*0.12,
 IF(N$1=Winner!$H27,'Ohana Matches'!$U27*0.08,0)))))</f>
        <v>0</v>
      </c>
      <c r="O27" s="30">
        <f>IF(O$1=Winner!$D27,'Ohana Matches'!$U27*0.4,
 IF(O$1=Winner!$E27,'Ohana Matches'!$U27*0.25,
 IF(O$1=Winner!$F27,'Ohana Matches'!$U27*0.15,
 IF(O$1=Winner!$G27,'Ohana Matches'!$U27*0.12,
 IF(O$1=Winner!$H27,'Ohana Matches'!$U27*0.08,0)))))</f>
        <v>0</v>
      </c>
      <c r="P27" s="30">
        <f>IF(P$1=Winner!$D27,'Ohana Matches'!$U27*0.4,
 IF(P$1=Winner!$E27,'Ohana Matches'!$U27*0.25,
 IF(P$1=Winner!$F27,'Ohana Matches'!$U27*0.15,
 IF(P$1=Winner!$G27,'Ohana Matches'!$U27*0.12,
 IF(P$1=Winner!$H27,'Ohana Matches'!$U27*0.08,0)))))</f>
        <v>0</v>
      </c>
      <c r="Q27" s="30">
        <f>IF(Q$1=Winner!$D27,'Ohana Matches'!$U27*0.4,
 IF(Q$1=Winner!$E27,'Ohana Matches'!$U27*0.25,
 IF(Q$1=Winner!$F27,'Ohana Matches'!$U27*0.15,
 IF(Q$1=Winner!$G27,'Ohana Matches'!$U27*0.12,
 IF(Q$1=Winner!$H27,'Ohana Matches'!$U27*0.08,0)))))</f>
        <v>0</v>
      </c>
      <c r="R27" s="26">
        <f t="shared" si="0"/>
        <v>0</v>
      </c>
    </row>
    <row r="28" spans="1:18">
      <c r="A28" s="27">
        <v>27</v>
      </c>
      <c r="B28" s="28">
        <v>46130</v>
      </c>
      <c r="C28" s="29" t="s">
        <v>142</v>
      </c>
      <c r="D28" s="30">
        <f>IF(D$1=Winner!$D28,'Ohana Matches'!$U28*0.4,
 IF(D$1=Winner!$E28,'Ohana Matches'!$U28*0.25,
 IF(D$1=Winner!$F28,'Ohana Matches'!$U28*0.15,
 IF(D$1=Winner!$G28,'Ohana Matches'!$U28*0.12,
 IF(D$1=Winner!$H28,'Ohana Matches'!$U28*0.08,0)))))</f>
        <v>0</v>
      </c>
      <c r="E28" s="30">
        <f>IF(E$1=Winner!$D28,'Ohana Matches'!$U28*0.4,
 IF(E$1=Winner!$E28,'Ohana Matches'!$U28*0.25,
 IF(E$1=Winner!$F28,'Ohana Matches'!$U28*0.15,
 IF(E$1=Winner!$G28,'Ohana Matches'!$U28*0.12,
 IF(E$1=Winner!$H28,'Ohana Matches'!$U28*0.08,0)))))</f>
        <v>0</v>
      </c>
      <c r="F28" s="30">
        <f>IF(F$1=Winner!$D28,'Ohana Matches'!$U28*0.4,
 IF(F$1=Winner!$E28,'Ohana Matches'!$U28*0.25,
 IF(F$1=Winner!$F28,'Ohana Matches'!$U28*0.15,
 IF(F$1=Winner!$G28,'Ohana Matches'!$U28*0.12,
 IF(F$1=Winner!$H28,'Ohana Matches'!$U28*0.08,0)))))</f>
        <v>0</v>
      </c>
      <c r="G28" s="30">
        <f>IF(G$1=Winner!$D28,'Ohana Matches'!$U28*0.4,
 IF(G$1=Winner!$E28,'Ohana Matches'!$U28*0.25,
 IF(G$1=Winner!$F28,'Ohana Matches'!$U28*0.15,
 IF(G$1=Winner!$G28,'Ohana Matches'!$U28*0.12,
 IF(G$1=Winner!$H28,'Ohana Matches'!$U28*0.08,0)))))</f>
        <v>0</v>
      </c>
      <c r="H28" s="30">
        <f>IF(H$1=Winner!$D28,'Ohana Matches'!$U28*0.4,
 IF(H$1=Winner!$E28,'Ohana Matches'!$U28*0.25,
 IF(H$1=Winner!$F28,'Ohana Matches'!$U28*0.15,
 IF(H$1=Winner!$G28,'Ohana Matches'!$U28*0.12,
 IF(H$1=Winner!$H28,'Ohana Matches'!$U28*0.08,0)))))</f>
        <v>0</v>
      </c>
      <c r="I28" s="30">
        <f>IF(I$1=Winner!$D28,'Ohana Matches'!$U28*0.4,
 IF(I$1=Winner!$E28,'Ohana Matches'!$U28*0.25,
 IF(I$1=Winner!$F28,'Ohana Matches'!$U28*0.15,
 IF(I$1=Winner!$G28,'Ohana Matches'!$U28*0.12,
 IF(I$1=Winner!$H28,'Ohana Matches'!$U28*0.08,0)))))</f>
        <v>0</v>
      </c>
      <c r="J28" s="30">
        <f>IF(J$1=Winner!$D28,'Ohana Matches'!$U28*0.4,
 IF(J$1=Winner!$E28,'Ohana Matches'!$U28*0.25,
 IF(J$1=Winner!$F28,'Ohana Matches'!$U28*0.15,
 IF(J$1=Winner!$G28,'Ohana Matches'!$U28*0.12,
 IF(J$1=Winner!$H28,'Ohana Matches'!$U28*0.08,0)))))</f>
        <v>0</v>
      </c>
      <c r="K28" s="30">
        <f>IF(K$1=Winner!$D28,'Ohana Matches'!$U28*0.4,
 IF(K$1=Winner!$E28,'Ohana Matches'!$U28*0.25,
 IF(K$1=Winner!$F28,'Ohana Matches'!$U28*0.15,
 IF(K$1=Winner!$G28,'Ohana Matches'!$U28*0.12,
 IF(K$1=Winner!$H28,'Ohana Matches'!$U28*0.08,0)))))</f>
        <v>0</v>
      </c>
      <c r="L28" s="30">
        <f>IF(L$1=Winner!$D28,'Ohana Matches'!$U28*0.4,
 IF(L$1=Winner!$E28,'Ohana Matches'!$U28*0.25,
 IF(L$1=Winner!$F28,'Ohana Matches'!$U28*0.15,
 IF(L$1=Winner!$G28,'Ohana Matches'!$U28*0.12,
 IF(L$1=Winner!$H28,'Ohana Matches'!$U28*0.08,0)))))</f>
        <v>0</v>
      </c>
      <c r="M28" s="30">
        <f>IF(M$1=Winner!$D28,'Ohana Matches'!$U28*0.4,
 IF(M$1=Winner!$E28,'Ohana Matches'!$U28*0.25,
 IF(M$1=Winner!$F28,'Ohana Matches'!$U28*0.15,
 IF(M$1=Winner!$G28,'Ohana Matches'!$U28*0.12,
 IF(M$1=Winner!$H28,'Ohana Matches'!$U28*0.08,0)))))</f>
        <v>0</v>
      </c>
      <c r="N28" s="30">
        <f>IF(N$1=Winner!$D28,'Ohana Matches'!$U28*0.4,
 IF(N$1=Winner!$E28,'Ohana Matches'!$U28*0.25,
 IF(N$1=Winner!$F28,'Ohana Matches'!$U28*0.15,
 IF(N$1=Winner!$G28,'Ohana Matches'!$U28*0.12,
 IF(N$1=Winner!$H28,'Ohana Matches'!$U28*0.08,0)))))</f>
        <v>0</v>
      </c>
      <c r="O28" s="30">
        <f>IF(O$1=Winner!$D28,'Ohana Matches'!$U28*0.4,
 IF(O$1=Winner!$E28,'Ohana Matches'!$U28*0.25,
 IF(O$1=Winner!$F28,'Ohana Matches'!$U28*0.15,
 IF(O$1=Winner!$G28,'Ohana Matches'!$U28*0.12,
 IF(O$1=Winner!$H28,'Ohana Matches'!$U28*0.08,0)))))</f>
        <v>0</v>
      </c>
      <c r="P28" s="30">
        <f>IF(P$1=Winner!$D28,'Ohana Matches'!$U28*0.4,
 IF(P$1=Winner!$E28,'Ohana Matches'!$U28*0.25,
 IF(P$1=Winner!$F28,'Ohana Matches'!$U28*0.15,
 IF(P$1=Winner!$G28,'Ohana Matches'!$U28*0.12,
 IF(P$1=Winner!$H28,'Ohana Matches'!$U28*0.08,0)))))</f>
        <v>0</v>
      </c>
      <c r="Q28" s="30">
        <f>IF(Q$1=Winner!$D28,'Ohana Matches'!$U28*0.4,
 IF(Q$1=Winner!$E28,'Ohana Matches'!$U28*0.25,
 IF(Q$1=Winner!$F28,'Ohana Matches'!$U28*0.15,
 IF(Q$1=Winner!$G28,'Ohana Matches'!$U28*0.12,
 IF(Q$1=Winner!$H28,'Ohana Matches'!$U28*0.08,0)))))</f>
        <v>0</v>
      </c>
      <c r="R28" s="26">
        <f t="shared" si="0"/>
        <v>0</v>
      </c>
    </row>
    <row r="29" spans="1:18">
      <c r="A29" s="27">
        <v>28</v>
      </c>
      <c r="B29" s="28">
        <v>46131</v>
      </c>
      <c r="C29" s="29" t="s">
        <v>143</v>
      </c>
      <c r="D29" s="30">
        <f>IF(D$1=Winner!$D29,'Ohana Matches'!$U29*0.4,
 IF(D$1=Winner!$E29,'Ohana Matches'!$U29*0.25,
 IF(D$1=Winner!$F29,'Ohana Matches'!$U29*0.15,
 IF(D$1=Winner!$G29,'Ohana Matches'!$U29*0.12,
 IF(D$1=Winner!$H29,'Ohana Matches'!$U29*0.08,0)))))</f>
        <v>0</v>
      </c>
      <c r="E29" s="30">
        <f>IF(E$1=Winner!$D29,'Ohana Matches'!$U29*0.4,
 IF(E$1=Winner!$E29,'Ohana Matches'!$U29*0.25,
 IF(E$1=Winner!$F29,'Ohana Matches'!$U29*0.15,
 IF(E$1=Winner!$G29,'Ohana Matches'!$U29*0.12,
 IF(E$1=Winner!$H29,'Ohana Matches'!$U29*0.08,0)))))</f>
        <v>0</v>
      </c>
      <c r="F29" s="30">
        <f>IF(F$1=Winner!$D29,'Ohana Matches'!$U29*0.4,
 IF(F$1=Winner!$E29,'Ohana Matches'!$U29*0.25,
 IF(F$1=Winner!$F29,'Ohana Matches'!$U29*0.15,
 IF(F$1=Winner!$G29,'Ohana Matches'!$U29*0.12,
 IF(F$1=Winner!$H29,'Ohana Matches'!$U29*0.08,0)))))</f>
        <v>0</v>
      </c>
      <c r="G29" s="30">
        <f>IF(G$1=Winner!$D29,'Ohana Matches'!$U29*0.4,
 IF(G$1=Winner!$E29,'Ohana Matches'!$U29*0.25,
 IF(G$1=Winner!$F29,'Ohana Matches'!$U29*0.15,
 IF(G$1=Winner!$G29,'Ohana Matches'!$U29*0.12,
 IF(G$1=Winner!$H29,'Ohana Matches'!$U29*0.08,0)))))</f>
        <v>0</v>
      </c>
      <c r="H29" s="30">
        <f>IF(H$1=Winner!$D29,'Ohana Matches'!$U29*0.4,
 IF(H$1=Winner!$E29,'Ohana Matches'!$U29*0.25,
 IF(H$1=Winner!$F29,'Ohana Matches'!$U29*0.15,
 IF(H$1=Winner!$G29,'Ohana Matches'!$U29*0.12,
 IF(H$1=Winner!$H29,'Ohana Matches'!$U29*0.08,0)))))</f>
        <v>0</v>
      </c>
      <c r="I29" s="30">
        <f>IF(I$1=Winner!$D29,'Ohana Matches'!$U29*0.4,
 IF(I$1=Winner!$E29,'Ohana Matches'!$U29*0.25,
 IF(I$1=Winner!$F29,'Ohana Matches'!$U29*0.15,
 IF(I$1=Winner!$G29,'Ohana Matches'!$U29*0.12,
 IF(I$1=Winner!$H29,'Ohana Matches'!$U29*0.08,0)))))</f>
        <v>0</v>
      </c>
      <c r="J29" s="30">
        <f>IF(J$1=Winner!$D29,'Ohana Matches'!$U29*0.4,
 IF(J$1=Winner!$E29,'Ohana Matches'!$U29*0.25,
 IF(J$1=Winner!$F29,'Ohana Matches'!$U29*0.15,
 IF(J$1=Winner!$G29,'Ohana Matches'!$U29*0.12,
 IF(J$1=Winner!$H29,'Ohana Matches'!$U29*0.08,0)))))</f>
        <v>0</v>
      </c>
      <c r="K29" s="30">
        <f>IF(K$1=Winner!$D29,'Ohana Matches'!$U29*0.4,
 IF(K$1=Winner!$E29,'Ohana Matches'!$U29*0.25,
 IF(K$1=Winner!$F29,'Ohana Matches'!$U29*0.15,
 IF(K$1=Winner!$G29,'Ohana Matches'!$U29*0.12,
 IF(K$1=Winner!$H29,'Ohana Matches'!$U29*0.08,0)))))</f>
        <v>0</v>
      </c>
      <c r="L29" s="30">
        <f>IF(L$1=Winner!$D29,'Ohana Matches'!$U29*0.4,
 IF(L$1=Winner!$E29,'Ohana Matches'!$U29*0.25,
 IF(L$1=Winner!$F29,'Ohana Matches'!$U29*0.15,
 IF(L$1=Winner!$G29,'Ohana Matches'!$U29*0.12,
 IF(L$1=Winner!$H29,'Ohana Matches'!$U29*0.08,0)))))</f>
        <v>0</v>
      </c>
      <c r="M29" s="30">
        <f>IF(M$1=Winner!$D29,'Ohana Matches'!$U29*0.4,
 IF(M$1=Winner!$E29,'Ohana Matches'!$U29*0.25,
 IF(M$1=Winner!$F29,'Ohana Matches'!$U29*0.15,
 IF(M$1=Winner!$G29,'Ohana Matches'!$U29*0.12,
 IF(M$1=Winner!$H29,'Ohana Matches'!$U29*0.08,0)))))</f>
        <v>0</v>
      </c>
      <c r="N29" s="30">
        <f>IF(N$1=Winner!$D29,'Ohana Matches'!$U29*0.4,
 IF(N$1=Winner!$E29,'Ohana Matches'!$U29*0.25,
 IF(N$1=Winner!$F29,'Ohana Matches'!$U29*0.15,
 IF(N$1=Winner!$G29,'Ohana Matches'!$U29*0.12,
 IF(N$1=Winner!$H29,'Ohana Matches'!$U29*0.08,0)))))</f>
        <v>0</v>
      </c>
      <c r="O29" s="30">
        <f>IF(O$1=Winner!$D29,'Ohana Matches'!$U29*0.4,
 IF(O$1=Winner!$E29,'Ohana Matches'!$U29*0.25,
 IF(O$1=Winner!$F29,'Ohana Matches'!$U29*0.15,
 IF(O$1=Winner!$G29,'Ohana Matches'!$U29*0.12,
 IF(O$1=Winner!$H29,'Ohana Matches'!$U29*0.08,0)))))</f>
        <v>0</v>
      </c>
      <c r="P29" s="30">
        <f>IF(P$1=Winner!$D29,'Ohana Matches'!$U29*0.4,
 IF(P$1=Winner!$E29,'Ohana Matches'!$U29*0.25,
 IF(P$1=Winner!$F29,'Ohana Matches'!$U29*0.15,
 IF(P$1=Winner!$G29,'Ohana Matches'!$U29*0.12,
 IF(P$1=Winner!$H29,'Ohana Matches'!$U29*0.08,0)))))</f>
        <v>0</v>
      </c>
      <c r="Q29" s="30">
        <f>IF(Q$1=Winner!$D29,'Ohana Matches'!$U29*0.4,
 IF(Q$1=Winner!$E29,'Ohana Matches'!$U29*0.25,
 IF(Q$1=Winner!$F29,'Ohana Matches'!$U29*0.15,
 IF(Q$1=Winner!$G29,'Ohana Matches'!$U29*0.12,
 IF(Q$1=Winner!$H29,'Ohana Matches'!$U29*0.08,0)))))</f>
        <v>0</v>
      </c>
      <c r="R29" s="26">
        <f t="shared" si="0"/>
        <v>0</v>
      </c>
    </row>
    <row r="30" spans="1:18">
      <c r="A30" s="27">
        <v>29</v>
      </c>
      <c r="B30" s="28">
        <v>46131</v>
      </c>
      <c r="C30" s="29" t="s">
        <v>144</v>
      </c>
      <c r="D30" s="30">
        <f>IF(D$1=Winner!$D30,'Ohana Matches'!$U30*0.4,
 IF(D$1=Winner!$E30,'Ohana Matches'!$U30*0.25,
 IF(D$1=Winner!$F30,'Ohana Matches'!$U30*0.15,
 IF(D$1=Winner!$G30,'Ohana Matches'!$U30*0.12,
 IF(D$1=Winner!$H30,'Ohana Matches'!$U30*0.08,0)))))</f>
        <v>0</v>
      </c>
      <c r="E30" s="30">
        <f>IF(E$1=Winner!$D30,'Ohana Matches'!$U30*0.4,
 IF(E$1=Winner!$E30,'Ohana Matches'!$U30*0.25,
 IF(E$1=Winner!$F30,'Ohana Matches'!$U30*0.15,
 IF(E$1=Winner!$G30,'Ohana Matches'!$U30*0.12,
 IF(E$1=Winner!$H30,'Ohana Matches'!$U30*0.08,0)))))</f>
        <v>0</v>
      </c>
      <c r="F30" s="30">
        <f>IF(F$1=Winner!$D30,'Ohana Matches'!$U30*0.4,
 IF(F$1=Winner!$E30,'Ohana Matches'!$U30*0.25,
 IF(F$1=Winner!$F30,'Ohana Matches'!$U30*0.15,
 IF(F$1=Winner!$G30,'Ohana Matches'!$U30*0.12,
 IF(F$1=Winner!$H30,'Ohana Matches'!$U30*0.08,0)))))</f>
        <v>0</v>
      </c>
      <c r="G30" s="30">
        <f>IF(G$1=Winner!$D30,'Ohana Matches'!$U30*0.4,
 IF(G$1=Winner!$E30,'Ohana Matches'!$U30*0.25,
 IF(G$1=Winner!$F30,'Ohana Matches'!$U30*0.15,
 IF(G$1=Winner!$G30,'Ohana Matches'!$U30*0.12,
 IF(G$1=Winner!$H30,'Ohana Matches'!$U30*0.08,0)))))</f>
        <v>0</v>
      </c>
      <c r="H30" s="30">
        <f>IF(H$1=Winner!$D30,'Ohana Matches'!$U30*0.4,
 IF(H$1=Winner!$E30,'Ohana Matches'!$U30*0.25,
 IF(H$1=Winner!$F30,'Ohana Matches'!$U30*0.15,
 IF(H$1=Winner!$G30,'Ohana Matches'!$U30*0.12,
 IF(H$1=Winner!$H30,'Ohana Matches'!$U30*0.08,0)))))</f>
        <v>0</v>
      </c>
      <c r="I30" s="30">
        <f>IF(I$1=Winner!$D30,'Ohana Matches'!$U30*0.4,
 IF(I$1=Winner!$E30,'Ohana Matches'!$U30*0.25,
 IF(I$1=Winner!$F30,'Ohana Matches'!$U30*0.15,
 IF(I$1=Winner!$G30,'Ohana Matches'!$U30*0.12,
 IF(I$1=Winner!$H30,'Ohana Matches'!$U30*0.08,0)))))</f>
        <v>0</v>
      </c>
      <c r="J30" s="30">
        <f>IF(J$1=Winner!$D30,'Ohana Matches'!$U30*0.4,
 IF(J$1=Winner!$E30,'Ohana Matches'!$U30*0.25,
 IF(J$1=Winner!$F30,'Ohana Matches'!$U30*0.15,
 IF(J$1=Winner!$G30,'Ohana Matches'!$U30*0.12,
 IF(J$1=Winner!$H30,'Ohana Matches'!$U30*0.08,0)))))</f>
        <v>0</v>
      </c>
      <c r="K30" s="30">
        <f>IF(K$1=Winner!$D30,'Ohana Matches'!$U30*0.4,
 IF(K$1=Winner!$E30,'Ohana Matches'!$U30*0.25,
 IF(K$1=Winner!$F30,'Ohana Matches'!$U30*0.15,
 IF(K$1=Winner!$G30,'Ohana Matches'!$U30*0.12,
 IF(K$1=Winner!$H30,'Ohana Matches'!$U30*0.08,0)))))</f>
        <v>0</v>
      </c>
      <c r="L30" s="30">
        <f>IF(L$1=Winner!$D30,'Ohana Matches'!$U30*0.4,
 IF(L$1=Winner!$E30,'Ohana Matches'!$U30*0.25,
 IF(L$1=Winner!$F30,'Ohana Matches'!$U30*0.15,
 IF(L$1=Winner!$G30,'Ohana Matches'!$U30*0.12,
 IF(L$1=Winner!$H30,'Ohana Matches'!$U30*0.08,0)))))</f>
        <v>0</v>
      </c>
      <c r="M30" s="30">
        <f>IF(M$1=Winner!$D30,'Ohana Matches'!$U30*0.4,
 IF(M$1=Winner!$E30,'Ohana Matches'!$U30*0.25,
 IF(M$1=Winner!$F30,'Ohana Matches'!$U30*0.15,
 IF(M$1=Winner!$G30,'Ohana Matches'!$U30*0.12,
 IF(M$1=Winner!$H30,'Ohana Matches'!$U30*0.08,0)))))</f>
        <v>0</v>
      </c>
      <c r="N30" s="30">
        <f>IF(N$1=Winner!$D30,'Ohana Matches'!$U30*0.4,
 IF(N$1=Winner!$E30,'Ohana Matches'!$U30*0.25,
 IF(N$1=Winner!$F30,'Ohana Matches'!$U30*0.15,
 IF(N$1=Winner!$G30,'Ohana Matches'!$U30*0.12,
 IF(N$1=Winner!$H30,'Ohana Matches'!$U30*0.08,0)))))</f>
        <v>0</v>
      </c>
      <c r="O30" s="30">
        <f>IF(O$1=Winner!$D30,'Ohana Matches'!$U30*0.4,
 IF(O$1=Winner!$E30,'Ohana Matches'!$U30*0.25,
 IF(O$1=Winner!$F30,'Ohana Matches'!$U30*0.15,
 IF(O$1=Winner!$G30,'Ohana Matches'!$U30*0.12,
 IF(O$1=Winner!$H30,'Ohana Matches'!$U30*0.08,0)))))</f>
        <v>0</v>
      </c>
      <c r="P30" s="30">
        <f>IF(P$1=Winner!$D30,'Ohana Matches'!$U30*0.4,
 IF(P$1=Winner!$E30,'Ohana Matches'!$U30*0.25,
 IF(P$1=Winner!$F30,'Ohana Matches'!$U30*0.15,
 IF(P$1=Winner!$G30,'Ohana Matches'!$U30*0.12,
 IF(P$1=Winner!$H30,'Ohana Matches'!$U30*0.08,0)))))</f>
        <v>0</v>
      </c>
      <c r="Q30" s="30">
        <f>IF(Q$1=Winner!$D30,'Ohana Matches'!$U30*0.4,
 IF(Q$1=Winner!$E30,'Ohana Matches'!$U30*0.25,
 IF(Q$1=Winner!$F30,'Ohana Matches'!$U30*0.15,
 IF(Q$1=Winner!$G30,'Ohana Matches'!$U30*0.12,
 IF(Q$1=Winner!$H30,'Ohana Matches'!$U30*0.08,0)))))</f>
        <v>0</v>
      </c>
      <c r="R30" s="26">
        <f t="shared" si="0"/>
        <v>0</v>
      </c>
    </row>
    <row r="31" spans="1:18">
      <c r="A31" s="27">
        <v>30</v>
      </c>
      <c r="B31" s="28">
        <v>46132</v>
      </c>
      <c r="C31" s="29" t="s">
        <v>145</v>
      </c>
      <c r="D31" s="30">
        <f>IF(D$1=Winner!$D31,'Ohana Matches'!$U31*0.4,
 IF(D$1=Winner!$E31,'Ohana Matches'!$U31*0.25,
 IF(D$1=Winner!$F31,'Ohana Matches'!$U31*0.15,
 IF(D$1=Winner!$G31,'Ohana Matches'!$U31*0.12,
 IF(D$1=Winner!$H31,'Ohana Matches'!$U31*0.08,0)))))</f>
        <v>0</v>
      </c>
      <c r="E31" s="30">
        <f>IF(E$1=Winner!$D31,'Ohana Matches'!$U31*0.4,
 IF(E$1=Winner!$E31,'Ohana Matches'!$U31*0.25,
 IF(E$1=Winner!$F31,'Ohana Matches'!$U31*0.15,
 IF(E$1=Winner!$G31,'Ohana Matches'!$U31*0.12,
 IF(E$1=Winner!$H31,'Ohana Matches'!$U31*0.08,0)))))</f>
        <v>0</v>
      </c>
      <c r="F31" s="30">
        <f>IF(F$1=Winner!$D31,'Ohana Matches'!$U31*0.4,
 IF(F$1=Winner!$E31,'Ohana Matches'!$U31*0.25,
 IF(F$1=Winner!$F31,'Ohana Matches'!$U31*0.15,
 IF(F$1=Winner!$G31,'Ohana Matches'!$U31*0.12,
 IF(F$1=Winner!$H31,'Ohana Matches'!$U31*0.08,0)))))</f>
        <v>0</v>
      </c>
      <c r="G31" s="30">
        <f>IF(G$1=Winner!$D31,'Ohana Matches'!$U31*0.4,
 IF(G$1=Winner!$E31,'Ohana Matches'!$U31*0.25,
 IF(G$1=Winner!$F31,'Ohana Matches'!$U31*0.15,
 IF(G$1=Winner!$G31,'Ohana Matches'!$U31*0.12,
 IF(G$1=Winner!$H31,'Ohana Matches'!$U31*0.08,0)))))</f>
        <v>0</v>
      </c>
      <c r="H31" s="30">
        <f>IF(H$1=Winner!$D31,'Ohana Matches'!$U31*0.4,
 IF(H$1=Winner!$E31,'Ohana Matches'!$U31*0.25,
 IF(H$1=Winner!$F31,'Ohana Matches'!$U31*0.15,
 IF(H$1=Winner!$G31,'Ohana Matches'!$U31*0.12,
 IF(H$1=Winner!$H31,'Ohana Matches'!$U31*0.08,0)))))</f>
        <v>0</v>
      </c>
      <c r="I31" s="30">
        <f>IF(I$1=Winner!$D31,'Ohana Matches'!$U31*0.4,
 IF(I$1=Winner!$E31,'Ohana Matches'!$U31*0.25,
 IF(I$1=Winner!$F31,'Ohana Matches'!$U31*0.15,
 IF(I$1=Winner!$G31,'Ohana Matches'!$U31*0.12,
 IF(I$1=Winner!$H31,'Ohana Matches'!$U31*0.08,0)))))</f>
        <v>0</v>
      </c>
      <c r="J31" s="30">
        <f>IF(J$1=Winner!$D31,'Ohana Matches'!$U31*0.4,
 IF(J$1=Winner!$E31,'Ohana Matches'!$U31*0.25,
 IF(J$1=Winner!$F31,'Ohana Matches'!$U31*0.15,
 IF(J$1=Winner!$G31,'Ohana Matches'!$U31*0.12,
 IF(J$1=Winner!$H31,'Ohana Matches'!$U31*0.08,0)))))</f>
        <v>0</v>
      </c>
      <c r="K31" s="30">
        <f>IF(K$1=Winner!$D31,'Ohana Matches'!$U31*0.4,
 IF(K$1=Winner!$E31,'Ohana Matches'!$U31*0.25,
 IF(K$1=Winner!$F31,'Ohana Matches'!$U31*0.15,
 IF(K$1=Winner!$G31,'Ohana Matches'!$U31*0.12,
 IF(K$1=Winner!$H31,'Ohana Matches'!$U31*0.08,0)))))</f>
        <v>0</v>
      </c>
      <c r="L31" s="30">
        <f>IF(L$1=Winner!$D31,'Ohana Matches'!$U31*0.4,
 IF(L$1=Winner!$E31,'Ohana Matches'!$U31*0.25,
 IF(L$1=Winner!$F31,'Ohana Matches'!$U31*0.15,
 IF(L$1=Winner!$G31,'Ohana Matches'!$U31*0.12,
 IF(L$1=Winner!$H31,'Ohana Matches'!$U31*0.08,0)))))</f>
        <v>0</v>
      </c>
      <c r="M31" s="30">
        <f>IF(M$1=Winner!$D31,'Ohana Matches'!$U31*0.4,
 IF(M$1=Winner!$E31,'Ohana Matches'!$U31*0.25,
 IF(M$1=Winner!$F31,'Ohana Matches'!$U31*0.15,
 IF(M$1=Winner!$G31,'Ohana Matches'!$U31*0.12,
 IF(M$1=Winner!$H31,'Ohana Matches'!$U31*0.08,0)))))</f>
        <v>0</v>
      </c>
      <c r="N31" s="30">
        <f>IF(N$1=Winner!$D31,'Ohana Matches'!$U31*0.4,
 IF(N$1=Winner!$E31,'Ohana Matches'!$U31*0.25,
 IF(N$1=Winner!$F31,'Ohana Matches'!$U31*0.15,
 IF(N$1=Winner!$G31,'Ohana Matches'!$U31*0.12,
 IF(N$1=Winner!$H31,'Ohana Matches'!$U31*0.08,0)))))</f>
        <v>0</v>
      </c>
      <c r="O31" s="30">
        <f>IF(O$1=Winner!$D31,'Ohana Matches'!$U31*0.4,
 IF(O$1=Winner!$E31,'Ohana Matches'!$U31*0.25,
 IF(O$1=Winner!$F31,'Ohana Matches'!$U31*0.15,
 IF(O$1=Winner!$G31,'Ohana Matches'!$U31*0.12,
 IF(O$1=Winner!$H31,'Ohana Matches'!$U31*0.08,0)))))</f>
        <v>0</v>
      </c>
      <c r="P31" s="30">
        <f>IF(P$1=Winner!$D31,'Ohana Matches'!$U31*0.4,
 IF(P$1=Winner!$E31,'Ohana Matches'!$U31*0.25,
 IF(P$1=Winner!$F31,'Ohana Matches'!$U31*0.15,
 IF(P$1=Winner!$G31,'Ohana Matches'!$U31*0.12,
 IF(P$1=Winner!$H31,'Ohana Matches'!$U31*0.08,0)))))</f>
        <v>0</v>
      </c>
      <c r="Q31" s="30">
        <f>IF(Q$1=Winner!$D31,'Ohana Matches'!$U31*0.4,
 IF(Q$1=Winner!$E31,'Ohana Matches'!$U31*0.25,
 IF(Q$1=Winner!$F31,'Ohana Matches'!$U31*0.15,
 IF(Q$1=Winner!$G31,'Ohana Matches'!$U31*0.12,
 IF(Q$1=Winner!$H31,'Ohana Matches'!$U31*0.08,0)))))</f>
        <v>0</v>
      </c>
      <c r="R31" s="26">
        <f t="shared" si="0"/>
        <v>0</v>
      </c>
    </row>
    <row r="32" spans="1:18">
      <c r="A32" s="27">
        <v>31</v>
      </c>
      <c r="B32" s="28">
        <v>46133</v>
      </c>
      <c r="C32" s="29" t="s">
        <v>146</v>
      </c>
      <c r="D32" s="30">
        <f>IF(D$1=Winner!$D32,'Ohana Matches'!$U32*0.4,
 IF(D$1=Winner!$E32,'Ohana Matches'!$U32*0.25,
 IF(D$1=Winner!$F32,'Ohana Matches'!$U32*0.15,
 IF(D$1=Winner!$G32,'Ohana Matches'!$U32*0.12,
 IF(D$1=Winner!$H32,'Ohana Matches'!$U32*0.08,0)))))</f>
        <v>0</v>
      </c>
      <c r="E32" s="30">
        <f>IF(E$1=Winner!$D32,'Ohana Matches'!$U32*0.4,
 IF(E$1=Winner!$E32,'Ohana Matches'!$U32*0.25,
 IF(E$1=Winner!$F32,'Ohana Matches'!$U32*0.15,
 IF(E$1=Winner!$G32,'Ohana Matches'!$U32*0.12,
 IF(E$1=Winner!$H32,'Ohana Matches'!$U32*0.08,0)))))</f>
        <v>0</v>
      </c>
      <c r="F32" s="30">
        <f>IF(F$1=Winner!$D32,'Ohana Matches'!$U32*0.4,
 IF(F$1=Winner!$E32,'Ohana Matches'!$U32*0.25,
 IF(F$1=Winner!$F32,'Ohana Matches'!$U32*0.15,
 IF(F$1=Winner!$G32,'Ohana Matches'!$U32*0.12,
 IF(F$1=Winner!$H32,'Ohana Matches'!$U32*0.08,0)))))</f>
        <v>0</v>
      </c>
      <c r="G32" s="30">
        <f>IF(G$1=Winner!$D32,'Ohana Matches'!$U32*0.4,
 IF(G$1=Winner!$E32,'Ohana Matches'!$U32*0.25,
 IF(G$1=Winner!$F32,'Ohana Matches'!$U32*0.15,
 IF(G$1=Winner!$G32,'Ohana Matches'!$U32*0.12,
 IF(G$1=Winner!$H32,'Ohana Matches'!$U32*0.08,0)))))</f>
        <v>0</v>
      </c>
      <c r="H32" s="30">
        <f>IF(H$1=Winner!$D32,'Ohana Matches'!$U32*0.4,
 IF(H$1=Winner!$E32,'Ohana Matches'!$U32*0.25,
 IF(H$1=Winner!$F32,'Ohana Matches'!$U32*0.15,
 IF(H$1=Winner!$G32,'Ohana Matches'!$U32*0.12,
 IF(H$1=Winner!$H32,'Ohana Matches'!$U32*0.08,0)))))</f>
        <v>0</v>
      </c>
      <c r="I32" s="30">
        <f>IF(I$1=Winner!$D32,'Ohana Matches'!$U32*0.4,
 IF(I$1=Winner!$E32,'Ohana Matches'!$U32*0.25,
 IF(I$1=Winner!$F32,'Ohana Matches'!$U32*0.15,
 IF(I$1=Winner!$G32,'Ohana Matches'!$U32*0.12,
 IF(I$1=Winner!$H32,'Ohana Matches'!$U32*0.08,0)))))</f>
        <v>0</v>
      </c>
      <c r="J32" s="30">
        <f>IF(J$1=Winner!$D32,'Ohana Matches'!$U32*0.4,
 IF(J$1=Winner!$E32,'Ohana Matches'!$U32*0.25,
 IF(J$1=Winner!$F32,'Ohana Matches'!$U32*0.15,
 IF(J$1=Winner!$G32,'Ohana Matches'!$U32*0.12,
 IF(J$1=Winner!$H32,'Ohana Matches'!$U32*0.08,0)))))</f>
        <v>0</v>
      </c>
      <c r="K32" s="30">
        <f>IF(K$1=Winner!$D32,'Ohana Matches'!$U32*0.4,
 IF(K$1=Winner!$E32,'Ohana Matches'!$U32*0.25,
 IF(K$1=Winner!$F32,'Ohana Matches'!$U32*0.15,
 IF(K$1=Winner!$G32,'Ohana Matches'!$U32*0.12,
 IF(K$1=Winner!$H32,'Ohana Matches'!$U32*0.08,0)))))</f>
        <v>0</v>
      </c>
      <c r="L32" s="30">
        <f>IF(L$1=Winner!$D32,'Ohana Matches'!$U32*0.4,
 IF(L$1=Winner!$E32,'Ohana Matches'!$U32*0.25,
 IF(L$1=Winner!$F32,'Ohana Matches'!$U32*0.15,
 IF(L$1=Winner!$G32,'Ohana Matches'!$U32*0.12,
 IF(L$1=Winner!$H32,'Ohana Matches'!$U32*0.08,0)))))</f>
        <v>0</v>
      </c>
      <c r="M32" s="30">
        <f>IF(M$1=Winner!$D32,'Ohana Matches'!$U32*0.4,
 IF(M$1=Winner!$E32,'Ohana Matches'!$U32*0.25,
 IF(M$1=Winner!$F32,'Ohana Matches'!$U32*0.15,
 IF(M$1=Winner!$G32,'Ohana Matches'!$U32*0.12,
 IF(M$1=Winner!$H32,'Ohana Matches'!$U32*0.08,0)))))</f>
        <v>0</v>
      </c>
      <c r="N32" s="30">
        <f>IF(N$1=Winner!$D32,'Ohana Matches'!$U32*0.4,
 IF(N$1=Winner!$E32,'Ohana Matches'!$U32*0.25,
 IF(N$1=Winner!$F32,'Ohana Matches'!$U32*0.15,
 IF(N$1=Winner!$G32,'Ohana Matches'!$U32*0.12,
 IF(N$1=Winner!$H32,'Ohana Matches'!$U32*0.08,0)))))</f>
        <v>0</v>
      </c>
      <c r="O32" s="30">
        <f>IF(O$1=Winner!$D32,'Ohana Matches'!$U32*0.4,
 IF(O$1=Winner!$E32,'Ohana Matches'!$U32*0.25,
 IF(O$1=Winner!$F32,'Ohana Matches'!$U32*0.15,
 IF(O$1=Winner!$G32,'Ohana Matches'!$U32*0.12,
 IF(O$1=Winner!$H32,'Ohana Matches'!$U32*0.08,0)))))</f>
        <v>0</v>
      </c>
      <c r="P32" s="30">
        <f>IF(P$1=Winner!$D32,'Ohana Matches'!$U32*0.4,
 IF(P$1=Winner!$E32,'Ohana Matches'!$U32*0.25,
 IF(P$1=Winner!$F32,'Ohana Matches'!$U32*0.15,
 IF(P$1=Winner!$G32,'Ohana Matches'!$U32*0.12,
 IF(P$1=Winner!$H32,'Ohana Matches'!$U32*0.08,0)))))</f>
        <v>0</v>
      </c>
      <c r="Q32" s="30">
        <f>IF(Q$1=Winner!$D32,'Ohana Matches'!$U32*0.4,
 IF(Q$1=Winner!$E32,'Ohana Matches'!$U32*0.25,
 IF(Q$1=Winner!$F32,'Ohana Matches'!$U32*0.15,
 IF(Q$1=Winner!$G32,'Ohana Matches'!$U32*0.12,
 IF(Q$1=Winner!$H32,'Ohana Matches'!$U32*0.08,0)))))</f>
        <v>0</v>
      </c>
      <c r="R32" s="26">
        <f t="shared" si="0"/>
        <v>0</v>
      </c>
    </row>
    <row r="33" spans="1:18">
      <c r="A33" s="27">
        <v>32</v>
      </c>
      <c r="B33" s="28">
        <v>46134</v>
      </c>
      <c r="C33" s="29" t="s">
        <v>147</v>
      </c>
      <c r="D33" s="30">
        <f>IF(D$1=Winner!$D33,'Ohana Matches'!$U33*0.4,
 IF(D$1=Winner!$E33,'Ohana Matches'!$U33*0.25,
 IF(D$1=Winner!$F33,'Ohana Matches'!$U33*0.15,
 IF(D$1=Winner!$G33,'Ohana Matches'!$U33*0.12,
 IF(D$1=Winner!$H33,'Ohana Matches'!$U33*0.08,0)))))</f>
        <v>0</v>
      </c>
      <c r="E33" s="30">
        <f>IF(E$1=Winner!$D33,'Ohana Matches'!$U33*0.4,
 IF(E$1=Winner!$E33,'Ohana Matches'!$U33*0.25,
 IF(E$1=Winner!$F33,'Ohana Matches'!$U33*0.15,
 IF(E$1=Winner!$G33,'Ohana Matches'!$U33*0.12,
 IF(E$1=Winner!$H33,'Ohana Matches'!$U33*0.08,0)))))</f>
        <v>0</v>
      </c>
      <c r="F33" s="30">
        <f>IF(F$1=Winner!$D33,'Ohana Matches'!$U33*0.4,
 IF(F$1=Winner!$E33,'Ohana Matches'!$U33*0.25,
 IF(F$1=Winner!$F33,'Ohana Matches'!$U33*0.15,
 IF(F$1=Winner!$G33,'Ohana Matches'!$U33*0.12,
 IF(F$1=Winner!$H33,'Ohana Matches'!$U33*0.08,0)))))</f>
        <v>0</v>
      </c>
      <c r="G33" s="30">
        <f>IF(G$1=Winner!$D33,'Ohana Matches'!$U33*0.4,
 IF(G$1=Winner!$E33,'Ohana Matches'!$U33*0.25,
 IF(G$1=Winner!$F33,'Ohana Matches'!$U33*0.15,
 IF(G$1=Winner!$G33,'Ohana Matches'!$U33*0.12,
 IF(G$1=Winner!$H33,'Ohana Matches'!$U33*0.08,0)))))</f>
        <v>0</v>
      </c>
      <c r="H33" s="30">
        <f>IF(H$1=Winner!$D33,'Ohana Matches'!$U33*0.4,
 IF(H$1=Winner!$E33,'Ohana Matches'!$U33*0.25,
 IF(H$1=Winner!$F33,'Ohana Matches'!$U33*0.15,
 IF(H$1=Winner!$G33,'Ohana Matches'!$U33*0.12,
 IF(H$1=Winner!$H33,'Ohana Matches'!$U33*0.08,0)))))</f>
        <v>0</v>
      </c>
      <c r="I33" s="30">
        <f>IF(I$1=Winner!$D33,'Ohana Matches'!$U33*0.4,
 IF(I$1=Winner!$E33,'Ohana Matches'!$U33*0.25,
 IF(I$1=Winner!$F33,'Ohana Matches'!$U33*0.15,
 IF(I$1=Winner!$G33,'Ohana Matches'!$U33*0.12,
 IF(I$1=Winner!$H33,'Ohana Matches'!$U33*0.08,0)))))</f>
        <v>0</v>
      </c>
      <c r="J33" s="30">
        <f>IF(J$1=Winner!$D33,'Ohana Matches'!$U33*0.4,
 IF(J$1=Winner!$E33,'Ohana Matches'!$U33*0.25,
 IF(J$1=Winner!$F33,'Ohana Matches'!$U33*0.15,
 IF(J$1=Winner!$G33,'Ohana Matches'!$U33*0.12,
 IF(J$1=Winner!$H33,'Ohana Matches'!$U33*0.08,0)))))</f>
        <v>0</v>
      </c>
      <c r="K33" s="30">
        <f>IF(K$1=Winner!$D33,'Ohana Matches'!$U33*0.4,
 IF(K$1=Winner!$E33,'Ohana Matches'!$U33*0.25,
 IF(K$1=Winner!$F33,'Ohana Matches'!$U33*0.15,
 IF(K$1=Winner!$G33,'Ohana Matches'!$U33*0.12,
 IF(K$1=Winner!$H33,'Ohana Matches'!$U33*0.08,0)))))</f>
        <v>0</v>
      </c>
      <c r="L33" s="30">
        <f>IF(L$1=Winner!$D33,'Ohana Matches'!$U33*0.4,
 IF(L$1=Winner!$E33,'Ohana Matches'!$U33*0.25,
 IF(L$1=Winner!$F33,'Ohana Matches'!$U33*0.15,
 IF(L$1=Winner!$G33,'Ohana Matches'!$U33*0.12,
 IF(L$1=Winner!$H33,'Ohana Matches'!$U33*0.08,0)))))</f>
        <v>0</v>
      </c>
      <c r="M33" s="30">
        <f>IF(M$1=Winner!$D33,'Ohana Matches'!$U33*0.4,
 IF(M$1=Winner!$E33,'Ohana Matches'!$U33*0.25,
 IF(M$1=Winner!$F33,'Ohana Matches'!$U33*0.15,
 IF(M$1=Winner!$G33,'Ohana Matches'!$U33*0.12,
 IF(M$1=Winner!$H33,'Ohana Matches'!$U33*0.08,0)))))</f>
        <v>0</v>
      </c>
      <c r="N33" s="30">
        <f>IF(N$1=Winner!$D33,'Ohana Matches'!$U33*0.4,
 IF(N$1=Winner!$E33,'Ohana Matches'!$U33*0.25,
 IF(N$1=Winner!$F33,'Ohana Matches'!$U33*0.15,
 IF(N$1=Winner!$G33,'Ohana Matches'!$U33*0.12,
 IF(N$1=Winner!$H33,'Ohana Matches'!$U33*0.08,0)))))</f>
        <v>0</v>
      </c>
      <c r="O33" s="30">
        <f>IF(O$1=Winner!$D33,'Ohana Matches'!$U33*0.4,
 IF(O$1=Winner!$E33,'Ohana Matches'!$U33*0.25,
 IF(O$1=Winner!$F33,'Ohana Matches'!$U33*0.15,
 IF(O$1=Winner!$G33,'Ohana Matches'!$U33*0.12,
 IF(O$1=Winner!$H33,'Ohana Matches'!$U33*0.08,0)))))</f>
        <v>0</v>
      </c>
      <c r="P33" s="30">
        <f>IF(P$1=Winner!$D33,'Ohana Matches'!$U33*0.4,
 IF(P$1=Winner!$E33,'Ohana Matches'!$U33*0.25,
 IF(P$1=Winner!$F33,'Ohana Matches'!$U33*0.15,
 IF(P$1=Winner!$G33,'Ohana Matches'!$U33*0.12,
 IF(P$1=Winner!$H33,'Ohana Matches'!$U33*0.08,0)))))</f>
        <v>0</v>
      </c>
      <c r="Q33" s="30">
        <f>IF(Q$1=Winner!$D33,'Ohana Matches'!$U33*0.4,
 IF(Q$1=Winner!$E33,'Ohana Matches'!$U33*0.25,
 IF(Q$1=Winner!$F33,'Ohana Matches'!$U33*0.15,
 IF(Q$1=Winner!$G33,'Ohana Matches'!$U33*0.12,
 IF(Q$1=Winner!$H33,'Ohana Matches'!$U33*0.08,0)))))</f>
        <v>0</v>
      </c>
      <c r="R33" s="26">
        <f t="shared" si="0"/>
        <v>0</v>
      </c>
    </row>
    <row r="34" spans="1:18">
      <c r="A34" s="27">
        <v>33</v>
      </c>
      <c r="B34" s="28">
        <v>46135</v>
      </c>
      <c r="C34" s="29" t="s">
        <v>148</v>
      </c>
      <c r="D34" s="30">
        <f>IF(D$1=Winner!$D34,'Ohana Matches'!$U34*0.4,
 IF(D$1=Winner!$E34,'Ohana Matches'!$U34*0.25,
 IF(D$1=Winner!$F34,'Ohana Matches'!$U34*0.15,
 IF(D$1=Winner!$G34,'Ohana Matches'!$U34*0.12,
 IF(D$1=Winner!$H34,'Ohana Matches'!$U34*0.08,0)))))</f>
        <v>0</v>
      </c>
      <c r="E34" s="30">
        <f>IF(E$1=Winner!$D34,'Ohana Matches'!$U34*0.4,
 IF(E$1=Winner!$E34,'Ohana Matches'!$U34*0.25,
 IF(E$1=Winner!$F34,'Ohana Matches'!$U34*0.15,
 IF(E$1=Winner!$G34,'Ohana Matches'!$U34*0.12,
 IF(E$1=Winner!$H34,'Ohana Matches'!$U34*0.08,0)))))</f>
        <v>0</v>
      </c>
      <c r="F34" s="30">
        <f>IF(F$1=Winner!$D34,'Ohana Matches'!$U34*0.4,
 IF(F$1=Winner!$E34,'Ohana Matches'!$U34*0.25,
 IF(F$1=Winner!$F34,'Ohana Matches'!$U34*0.15,
 IF(F$1=Winner!$G34,'Ohana Matches'!$U34*0.12,
 IF(F$1=Winner!$H34,'Ohana Matches'!$U34*0.08,0)))))</f>
        <v>0</v>
      </c>
      <c r="G34" s="30">
        <f>IF(G$1=Winner!$D34,'Ohana Matches'!$U34*0.4,
 IF(G$1=Winner!$E34,'Ohana Matches'!$U34*0.25,
 IF(G$1=Winner!$F34,'Ohana Matches'!$U34*0.15,
 IF(G$1=Winner!$G34,'Ohana Matches'!$U34*0.12,
 IF(G$1=Winner!$H34,'Ohana Matches'!$U34*0.08,0)))))</f>
        <v>0</v>
      </c>
      <c r="H34" s="30">
        <f>IF(H$1=Winner!$D34,'Ohana Matches'!$U34*0.4,
 IF(H$1=Winner!$E34,'Ohana Matches'!$U34*0.25,
 IF(H$1=Winner!$F34,'Ohana Matches'!$U34*0.15,
 IF(H$1=Winner!$G34,'Ohana Matches'!$U34*0.12,
 IF(H$1=Winner!$H34,'Ohana Matches'!$U34*0.08,0)))))</f>
        <v>0</v>
      </c>
      <c r="I34" s="30">
        <f>IF(I$1=Winner!$D34,'Ohana Matches'!$U34*0.4,
 IF(I$1=Winner!$E34,'Ohana Matches'!$U34*0.25,
 IF(I$1=Winner!$F34,'Ohana Matches'!$U34*0.15,
 IF(I$1=Winner!$G34,'Ohana Matches'!$U34*0.12,
 IF(I$1=Winner!$H34,'Ohana Matches'!$U34*0.08,0)))))</f>
        <v>0</v>
      </c>
      <c r="J34" s="30">
        <f>IF(J$1=Winner!$D34,'Ohana Matches'!$U34*0.4,
 IF(J$1=Winner!$E34,'Ohana Matches'!$U34*0.25,
 IF(J$1=Winner!$F34,'Ohana Matches'!$U34*0.15,
 IF(J$1=Winner!$G34,'Ohana Matches'!$U34*0.12,
 IF(J$1=Winner!$H34,'Ohana Matches'!$U34*0.08,0)))))</f>
        <v>0</v>
      </c>
      <c r="K34" s="30">
        <f>IF(K$1=Winner!$D34,'Ohana Matches'!$U34*0.4,
 IF(K$1=Winner!$E34,'Ohana Matches'!$U34*0.25,
 IF(K$1=Winner!$F34,'Ohana Matches'!$U34*0.15,
 IF(K$1=Winner!$G34,'Ohana Matches'!$U34*0.12,
 IF(K$1=Winner!$H34,'Ohana Matches'!$U34*0.08,0)))))</f>
        <v>0</v>
      </c>
      <c r="L34" s="30">
        <f>IF(L$1=Winner!$D34,'Ohana Matches'!$U34*0.4,
 IF(L$1=Winner!$E34,'Ohana Matches'!$U34*0.25,
 IF(L$1=Winner!$F34,'Ohana Matches'!$U34*0.15,
 IF(L$1=Winner!$G34,'Ohana Matches'!$U34*0.12,
 IF(L$1=Winner!$H34,'Ohana Matches'!$U34*0.08,0)))))</f>
        <v>0</v>
      </c>
      <c r="M34" s="30">
        <f>IF(M$1=Winner!$D34,'Ohana Matches'!$U34*0.4,
 IF(M$1=Winner!$E34,'Ohana Matches'!$U34*0.25,
 IF(M$1=Winner!$F34,'Ohana Matches'!$U34*0.15,
 IF(M$1=Winner!$G34,'Ohana Matches'!$U34*0.12,
 IF(M$1=Winner!$H34,'Ohana Matches'!$U34*0.08,0)))))</f>
        <v>0</v>
      </c>
      <c r="N34" s="30">
        <f>IF(N$1=Winner!$D34,'Ohana Matches'!$U34*0.4,
 IF(N$1=Winner!$E34,'Ohana Matches'!$U34*0.25,
 IF(N$1=Winner!$F34,'Ohana Matches'!$U34*0.15,
 IF(N$1=Winner!$G34,'Ohana Matches'!$U34*0.12,
 IF(N$1=Winner!$H34,'Ohana Matches'!$U34*0.08,0)))))</f>
        <v>0</v>
      </c>
      <c r="O34" s="30">
        <f>IF(O$1=Winner!$D34,'Ohana Matches'!$U34*0.4,
 IF(O$1=Winner!$E34,'Ohana Matches'!$U34*0.25,
 IF(O$1=Winner!$F34,'Ohana Matches'!$U34*0.15,
 IF(O$1=Winner!$G34,'Ohana Matches'!$U34*0.12,
 IF(O$1=Winner!$H34,'Ohana Matches'!$U34*0.08,0)))))</f>
        <v>0</v>
      </c>
      <c r="P34" s="30">
        <f>IF(P$1=Winner!$D34,'Ohana Matches'!$U34*0.4,
 IF(P$1=Winner!$E34,'Ohana Matches'!$U34*0.25,
 IF(P$1=Winner!$F34,'Ohana Matches'!$U34*0.15,
 IF(P$1=Winner!$G34,'Ohana Matches'!$U34*0.12,
 IF(P$1=Winner!$H34,'Ohana Matches'!$U34*0.08,0)))))</f>
        <v>0</v>
      </c>
      <c r="Q34" s="30">
        <f>IF(Q$1=Winner!$D34,'Ohana Matches'!$U34*0.4,
 IF(Q$1=Winner!$E34,'Ohana Matches'!$U34*0.25,
 IF(Q$1=Winner!$F34,'Ohana Matches'!$U34*0.15,
 IF(Q$1=Winner!$G34,'Ohana Matches'!$U34*0.12,
 IF(Q$1=Winner!$H34,'Ohana Matches'!$U34*0.08,0)))))</f>
        <v>0</v>
      </c>
      <c r="R34" s="26">
        <f t="shared" si="0"/>
        <v>0</v>
      </c>
    </row>
    <row r="35" spans="1:18">
      <c r="A35" s="27">
        <v>34</v>
      </c>
      <c r="B35" s="28">
        <v>46136</v>
      </c>
      <c r="C35" s="29" t="s">
        <v>149</v>
      </c>
      <c r="D35" s="30">
        <f>IF(D$1=Winner!$D35,'Ohana Matches'!$U35*0.4,
 IF(D$1=Winner!$E35,'Ohana Matches'!$U35*0.25,
 IF(D$1=Winner!$F35,'Ohana Matches'!$U35*0.15,
 IF(D$1=Winner!$G35,'Ohana Matches'!$U35*0.12,
 IF(D$1=Winner!$H35,'Ohana Matches'!$U35*0.08,0)))))</f>
        <v>0</v>
      </c>
      <c r="E35" s="30">
        <f>IF(E$1=Winner!$D35,'Ohana Matches'!$U35*0.4,
 IF(E$1=Winner!$E35,'Ohana Matches'!$U35*0.25,
 IF(E$1=Winner!$F35,'Ohana Matches'!$U35*0.15,
 IF(E$1=Winner!$G35,'Ohana Matches'!$U35*0.12,
 IF(E$1=Winner!$H35,'Ohana Matches'!$U35*0.08,0)))))</f>
        <v>0</v>
      </c>
      <c r="F35" s="30">
        <f>IF(F$1=Winner!$D35,'Ohana Matches'!$U35*0.4,
 IF(F$1=Winner!$E35,'Ohana Matches'!$U35*0.25,
 IF(F$1=Winner!$F35,'Ohana Matches'!$U35*0.15,
 IF(F$1=Winner!$G35,'Ohana Matches'!$U35*0.12,
 IF(F$1=Winner!$H35,'Ohana Matches'!$U35*0.08,0)))))</f>
        <v>0</v>
      </c>
      <c r="G35" s="30">
        <f>IF(G$1=Winner!$D35,'Ohana Matches'!$U35*0.4,
 IF(G$1=Winner!$E35,'Ohana Matches'!$U35*0.25,
 IF(G$1=Winner!$F35,'Ohana Matches'!$U35*0.15,
 IF(G$1=Winner!$G35,'Ohana Matches'!$U35*0.12,
 IF(G$1=Winner!$H35,'Ohana Matches'!$U35*0.08,0)))))</f>
        <v>0</v>
      </c>
      <c r="H35" s="30">
        <f>IF(H$1=Winner!$D35,'Ohana Matches'!$U35*0.4,
 IF(H$1=Winner!$E35,'Ohana Matches'!$U35*0.25,
 IF(H$1=Winner!$F35,'Ohana Matches'!$U35*0.15,
 IF(H$1=Winner!$G35,'Ohana Matches'!$U35*0.12,
 IF(H$1=Winner!$H35,'Ohana Matches'!$U35*0.08,0)))))</f>
        <v>0</v>
      </c>
      <c r="I35" s="30">
        <f>IF(I$1=Winner!$D35,'Ohana Matches'!$U35*0.4,
 IF(I$1=Winner!$E35,'Ohana Matches'!$U35*0.25,
 IF(I$1=Winner!$F35,'Ohana Matches'!$U35*0.15,
 IF(I$1=Winner!$G35,'Ohana Matches'!$U35*0.12,
 IF(I$1=Winner!$H35,'Ohana Matches'!$U35*0.08,0)))))</f>
        <v>0</v>
      </c>
      <c r="J35" s="30">
        <f>IF(J$1=Winner!$D35,'Ohana Matches'!$U35*0.4,
 IF(J$1=Winner!$E35,'Ohana Matches'!$U35*0.25,
 IF(J$1=Winner!$F35,'Ohana Matches'!$U35*0.15,
 IF(J$1=Winner!$G35,'Ohana Matches'!$U35*0.12,
 IF(J$1=Winner!$H35,'Ohana Matches'!$U35*0.08,0)))))</f>
        <v>0</v>
      </c>
      <c r="K35" s="30">
        <f>IF(K$1=Winner!$D35,'Ohana Matches'!$U35*0.4,
 IF(K$1=Winner!$E35,'Ohana Matches'!$U35*0.25,
 IF(K$1=Winner!$F35,'Ohana Matches'!$U35*0.15,
 IF(K$1=Winner!$G35,'Ohana Matches'!$U35*0.12,
 IF(K$1=Winner!$H35,'Ohana Matches'!$U35*0.08,0)))))</f>
        <v>0</v>
      </c>
      <c r="L35" s="30">
        <f>IF(L$1=Winner!$D35,'Ohana Matches'!$U35*0.4,
 IF(L$1=Winner!$E35,'Ohana Matches'!$U35*0.25,
 IF(L$1=Winner!$F35,'Ohana Matches'!$U35*0.15,
 IF(L$1=Winner!$G35,'Ohana Matches'!$U35*0.12,
 IF(L$1=Winner!$H35,'Ohana Matches'!$U35*0.08,0)))))</f>
        <v>0</v>
      </c>
      <c r="M35" s="30">
        <f>IF(M$1=Winner!$D35,'Ohana Matches'!$U35*0.4,
 IF(M$1=Winner!$E35,'Ohana Matches'!$U35*0.25,
 IF(M$1=Winner!$F35,'Ohana Matches'!$U35*0.15,
 IF(M$1=Winner!$G35,'Ohana Matches'!$U35*0.12,
 IF(M$1=Winner!$H35,'Ohana Matches'!$U35*0.08,0)))))</f>
        <v>0</v>
      </c>
      <c r="N35" s="30">
        <f>IF(N$1=Winner!$D35,'Ohana Matches'!$U35*0.4,
 IF(N$1=Winner!$E35,'Ohana Matches'!$U35*0.25,
 IF(N$1=Winner!$F35,'Ohana Matches'!$U35*0.15,
 IF(N$1=Winner!$G35,'Ohana Matches'!$U35*0.12,
 IF(N$1=Winner!$H35,'Ohana Matches'!$U35*0.08,0)))))</f>
        <v>0</v>
      </c>
      <c r="O35" s="30">
        <f>IF(O$1=Winner!$D35,'Ohana Matches'!$U35*0.4,
 IF(O$1=Winner!$E35,'Ohana Matches'!$U35*0.25,
 IF(O$1=Winner!$F35,'Ohana Matches'!$U35*0.15,
 IF(O$1=Winner!$G35,'Ohana Matches'!$U35*0.12,
 IF(O$1=Winner!$H35,'Ohana Matches'!$U35*0.08,0)))))</f>
        <v>0</v>
      </c>
      <c r="P35" s="30">
        <f>IF(P$1=Winner!$D35,'Ohana Matches'!$U35*0.4,
 IF(P$1=Winner!$E35,'Ohana Matches'!$U35*0.25,
 IF(P$1=Winner!$F35,'Ohana Matches'!$U35*0.15,
 IF(P$1=Winner!$G35,'Ohana Matches'!$U35*0.12,
 IF(P$1=Winner!$H35,'Ohana Matches'!$U35*0.08,0)))))</f>
        <v>0</v>
      </c>
      <c r="Q35" s="30">
        <f>IF(Q$1=Winner!$D35,'Ohana Matches'!$U35*0.4,
 IF(Q$1=Winner!$E35,'Ohana Matches'!$U35*0.25,
 IF(Q$1=Winner!$F35,'Ohana Matches'!$U35*0.15,
 IF(Q$1=Winner!$G35,'Ohana Matches'!$U35*0.12,
 IF(Q$1=Winner!$H35,'Ohana Matches'!$U35*0.08,0)))))</f>
        <v>0</v>
      </c>
      <c r="R35" s="26">
        <f t="shared" si="0"/>
        <v>0</v>
      </c>
    </row>
    <row r="36" spans="1:18">
      <c r="A36" s="27">
        <v>35</v>
      </c>
      <c r="B36" s="28">
        <v>46137</v>
      </c>
      <c r="C36" s="29" t="s">
        <v>150</v>
      </c>
      <c r="D36" s="30">
        <f>IF(D$1=Winner!$D36,'Ohana Matches'!$U36*0.4,
 IF(D$1=Winner!$E36,'Ohana Matches'!$U36*0.25,
 IF(D$1=Winner!$F36,'Ohana Matches'!$U36*0.15,
 IF(D$1=Winner!$G36,'Ohana Matches'!$U36*0.12,
 IF(D$1=Winner!$H36,'Ohana Matches'!$U36*0.08,0)))))</f>
        <v>0</v>
      </c>
      <c r="E36" s="30">
        <f>IF(E$1=Winner!$D36,'Ohana Matches'!$U36*0.4,
 IF(E$1=Winner!$E36,'Ohana Matches'!$U36*0.25,
 IF(E$1=Winner!$F36,'Ohana Matches'!$U36*0.15,
 IF(E$1=Winner!$G36,'Ohana Matches'!$U36*0.12,
 IF(E$1=Winner!$H36,'Ohana Matches'!$U36*0.08,0)))))</f>
        <v>0</v>
      </c>
      <c r="F36" s="30">
        <f>IF(F$1=Winner!$D36,'Ohana Matches'!$U36*0.4,
 IF(F$1=Winner!$E36,'Ohana Matches'!$U36*0.25,
 IF(F$1=Winner!$F36,'Ohana Matches'!$U36*0.15,
 IF(F$1=Winner!$G36,'Ohana Matches'!$U36*0.12,
 IF(F$1=Winner!$H36,'Ohana Matches'!$U36*0.08,0)))))</f>
        <v>0</v>
      </c>
      <c r="G36" s="30">
        <f>IF(G$1=Winner!$D36,'Ohana Matches'!$U36*0.4,
 IF(G$1=Winner!$E36,'Ohana Matches'!$U36*0.25,
 IF(G$1=Winner!$F36,'Ohana Matches'!$U36*0.15,
 IF(G$1=Winner!$G36,'Ohana Matches'!$U36*0.12,
 IF(G$1=Winner!$H36,'Ohana Matches'!$U36*0.08,0)))))</f>
        <v>0</v>
      </c>
      <c r="H36" s="30">
        <f>IF(H$1=Winner!$D36,'Ohana Matches'!$U36*0.4,
 IF(H$1=Winner!$E36,'Ohana Matches'!$U36*0.25,
 IF(H$1=Winner!$F36,'Ohana Matches'!$U36*0.15,
 IF(H$1=Winner!$G36,'Ohana Matches'!$U36*0.12,
 IF(H$1=Winner!$H36,'Ohana Matches'!$U36*0.08,0)))))</f>
        <v>0</v>
      </c>
      <c r="I36" s="30">
        <f>IF(I$1=Winner!$D36,'Ohana Matches'!$U36*0.4,
 IF(I$1=Winner!$E36,'Ohana Matches'!$U36*0.25,
 IF(I$1=Winner!$F36,'Ohana Matches'!$U36*0.15,
 IF(I$1=Winner!$G36,'Ohana Matches'!$U36*0.12,
 IF(I$1=Winner!$H36,'Ohana Matches'!$U36*0.08,0)))))</f>
        <v>0</v>
      </c>
      <c r="J36" s="30">
        <f>IF(J$1=Winner!$D36,'Ohana Matches'!$U36*0.4,
 IF(J$1=Winner!$E36,'Ohana Matches'!$U36*0.25,
 IF(J$1=Winner!$F36,'Ohana Matches'!$U36*0.15,
 IF(J$1=Winner!$G36,'Ohana Matches'!$U36*0.12,
 IF(J$1=Winner!$H36,'Ohana Matches'!$U36*0.08,0)))))</f>
        <v>0</v>
      </c>
      <c r="K36" s="30">
        <f>IF(K$1=Winner!$D36,'Ohana Matches'!$U36*0.4,
 IF(K$1=Winner!$E36,'Ohana Matches'!$U36*0.25,
 IF(K$1=Winner!$F36,'Ohana Matches'!$U36*0.15,
 IF(K$1=Winner!$G36,'Ohana Matches'!$U36*0.12,
 IF(K$1=Winner!$H36,'Ohana Matches'!$U36*0.08,0)))))</f>
        <v>0</v>
      </c>
      <c r="L36" s="30">
        <f>IF(L$1=Winner!$D36,'Ohana Matches'!$U36*0.4,
 IF(L$1=Winner!$E36,'Ohana Matches'!$U36*0.25,
 IF(L$1=Winner!$F36,'Ohana Matches'!$U36*0.15,
 IF(L$1=Winner!$G36,'Ohana Matches'!$U36*0.12,
 IF(L$1=Winner!$H36,'Ohana Matches'!$U36*0.08,0)))))</f>
        <v>0</v>
      </c>
      <c r="M36" s="30">
        <f>IF(M$1=Winner!$D36,'Ohana Matches'!$U36*0.4,
 IF(M$1=Winner!$E36,'Ohana Matches'!$U36*0.25,
 IF(M$1=Winner!$F36,'Ohana Matches'!$U36*0.15,
 IF(M$1=Winner!$G36,'Ohana Matches'!$U36*0.12,
 IF(M$1=Winner!$H36,'Ohana Matches'!$U36*0.08,0)))))</f>
        <v>0</v>
      </c>
      <c r="N36" s="30">
        <f>IF(N$1=Winner!$D36,'Ohana Matches'!$U36*0.4,
 IF(N$1=Winner!$E36,'Ohana Matches'!$U36*0.25,
 IF(N$1=Winner!$F36,'Ohana Matches'!$U36*0.15,
 IF(N$1=Winner!$G36,'Ohana Matches'!$U36*0.12,
 IF(N$1=Winner!$H36,'Ohana Matches'!$U36*0.08,0)))))</f>
        <v>0</v>
      </c>
      <c r="O36" s="30">
        <f>IF(O$1=Winner!$D36,'Ohana Matches'!$U36*0.4,
 IF(O$1=Winner!$E36,'Ohana Matches'!$U36*0.25,
 IF(O$1=Winner!$F36,'Ohana Matches'!$U36*0.15,
 IF(O$1=Winner!$G36,'Ohana Matches'!$U36*0.12,
 IF(O$1=Winner!$H36,'Ohana Matches'!$U36*0.08,0)))))</f>
        <v>0</v>
      </c>
      <c r="P36" s="30">
        <f>IF(P$1=Winner!$D36,'Ohana Matches'!$U36*0.4,
 IF(P$1=Winner!$E36,'Ohana Matches'!$U36*0.25,
 IF(P$1=Winner!$F36,'Ohana Matches'!$U36*0.15,
 IF(P$1=Winner!$G36,'Ohana Matches'!$U36*0.12,
 IF(P$1=Winner!$H36,'Ohana Matches'!$U36*0.08,0)))))</f>
        <v>0</v>
      </c>
      <c r="Q36" s="30">
        <f>IF(Q$1=Winner!$D36,'Ohana Matches'!$U36*0.4,
 IF(Q$1=Winner!$E36,'Ohana Matches'!$U36*0.25,
 IF(Q$1=Winner!$F36,'Ohana Matches'!$U36*0.15,
 IF(Q$1=Winner!$G36,'Ohana Matches'!$U36*0.12,
 IF(Q$1=Winner!$H36,'Ohana Matches'!$U36*0.08,0)))))</f>
        <v>0</v>
      </c>
      <c r="R36" s="26">
        <f t="shared" si="0"/>
        <v>0</v>
      </c>
    </row>
    <row r="37" spans="1:18">
      <c r="A37" s="27">
        <v>36</v>
      </c>
      <c r="B37" s="28">
        <v>46137</v>
      </c>
      <c r="C37" s="29" t="s">
        <v>151</v>
      </c>
      <c r="D37" s="30">
        <f>IF(D$1=Winner!$D37,'Ohana Matches'!$U37*0.4,
 IF(D$1=Winner!$E37,'Ohana Matches'!$U37*0.25,
 IF(D$1=Winner!$F37,'Ohana Matches'!$U37*0.15,
 IF(D$1=Winner!$G37,'Ohana Matches'!$U37*0.12,
 IF(D$1=Winner!$H37,'Ohana Matches'!$U37*0.08,0)))))</f>
        <v>0</v>
      </c>
      <c r="E37" s="30">
        <f>IF(E$1=Winner!$D37,'Ohana Matches'!$U37*0.4,
 IF(E$1=Winner!$E37,'Ohana Matches'!$U37*0.25,
 IF(E$1=Winner!$F37,'Ohana Matches'!$U37*0.15,
 IF(E$1=Winner!$G37,'Ohana Matches'!$U37*0.12,
 IF(E$1=Winner!$H37,'Ohana Matches'!$U37*0.08,0)))))</f>
        <v>0</v>
      </c>
      <c r="F37" s="30">
        <f>IF(F$1=Winner!$D37,'Ohana Matches'!$U37*0.4,
 IF(F$1=Winner!$E37,'Ohana Matches'!$U37*0.25,
 IF(F$1=Winner!$F37,'Ohana Matches'!$U37*0.15,
 IF(F$1=Winner!$G37,'Ohana Matches'!$U37*0.12,
 IF(F$1=Winner!$H37,'Ohana Matches'!$U37*0.08,0)))))</f>
        <v>0</v>
      </c>
      <c r="G37" s="30">
        <f>IF(G$1=Winner!$D37,'Ohana Matches'!$U37*0.4,
 IF(G$1=Winner!$E37,'Ohana Matches'!$U37*0.25,
 IF(G$1=Winner!$F37,'Ohana Matches'!$U37*0.15,
 IF(G$1=Winner!$G37,'Ohana Matches'!$U37*0.12,
 IF(G$1=Winner!$H37,'Ohana Matches'!$U37*0.08,0)))))</f>
        <v>0</v>
      </c>
      <c r="H37" s="30">
        <f>IF(H$1=Winner!$D37,'Ohana Matches'!$U37*0.4,
 IF(H$1=Winner!$E37,'Ohana Matches'!$U37*0.25,
 IF(H$1=Winner!$F37,'Ohana Matches'!$U37*0.15,
 IF(H$1=Winner!$G37,'Ohana Matches'!$U37*0.12,
 IF(H$1=Winner!$H37,'Ohana Matches'!$U37*0.08,0)))))</f>
        <v>0</v>
      </c>
      <c r="I37" s="30">
        <f>IF(I$1=Winner!$D37,'Ohana Matches'!$U37*0.4,
 IF(I$1=Winner!$E37,'Ohana Matches'!$U37*0.25,
 IF(I$1=Winner!$F37,'Ohana Matches'!$U37*0.15,
 IF(I$1=Winner!$G37,'Ohana Matches'!$U37*0.12,
 IF(I$1=Winner!$H37,'Ohana Matches'!$U37*0.08,0)))))</f>
        <v>0</v>
      </c>
      <c r="J37" s="30">
        <f>IF(J$1=Winner!$D37,'Ohana Matches'!$U37*0.4,
 IF(J$1=Winner!$E37,'Ohana Matches'!$U37*0.25,
 IF(J$1=Winner!$F37,'Ohana Matches'!$U37*0.15,
 IF(J$1=Winner!$G37,'Ohana Matches'!$U37*0.12,
 IF(J$1=Winner!$H37,'Ohana Matches'!$U37*0.08,0)))))</f>
        <v>0</v>
      </c>
      <c r="K37" s="30">
        <f>IF(K$1=Winner!$D37,'Ohana Matches'!$U37*0.4,
 IF(K$1=Winner!$E37,'Ohana Matches'!$U37*0.25,
 IF(K$1=Winner!$F37,'Ohana Matches'!$U37*0.15,
 IF(K$1=Winner!$G37,'Ohana Matches'!$U37*0.12,
 IF(K$1=Winner!$H37,'Ohana Matches'!$U37*0.08,0)))))</f>
        <v>0</v>
      </c>
      <c r="L37" s="30">
        <f>IF(L$1=Winner!$D37,'Ohana Matches'!$U37*0.4,
 IF(L$1=Winner!$E37,'Ohana Matches'!$U37*0.25,
 IF(L$1=Winner!$F37,'Ohana Matches'!$U37*0.15,
 IF(L$1=Winner!$G37,'Ohana Matches'!$U37*0.12,
 IF(L$1=Winner!$H37,'Ohana Matches'!$U37*0.08,0)))))</f>
        <v>0</v>
      </c>
      <c r="M37" s="30">
        <f>IF(M$1=Winner!$D37,'Ohana Matches'!$U37*0.4,
 IF(M$1=Winner!$E37,'Ohana Matches'!$U37*0.25,
 IF(M$1=Winner!$F37,'Ohana Matches'!$U37*0.15,
 IF(M$1=Winner!$G37,'Ohana Matches'!$U37*0.12,
 IF(M$1=Winner!$H37,'Ohana Matches'!$U37*0.08,0)))))</f>
        <v>0</v>
      </c>
      <c r="N37" s="30">
        <f>IF(N$1=Winner!$D37,'Ohana Matches'!$U37*0.4,
 IF(N$1=Winner!$E37,'Ohana Matches'!$U37*0.25,
 IF(N$1=Winner!$F37,'Ohana Matches'!$U37*0.15,
 IF(N$1=Winner!$G37,'Ohana Matches'!$U37*0.12,
 IF(N$1=Winner!$H37,'Ohana Matches'!$U37*0.08,0)))))</f>
        <v>0</v>
      </c>
      <c r="O37" s="30">
        <f>IF(O$1=Winner!$D37,'Ohana Matches'!$U37*0.4,
 IF(O$1=Winner!$E37,'Ohana Matches'!$U37*0.25,
 IF(O$1=Winner!$F37,'Ohana Matches'!$U37*0.15,
 IF(O$1=Winner!$G37,'Ohana Matches'!$U37*0.12,
 IF(O$1=Winner!$H37,'Ohana Matches'!$U37*0.08,0)))))</f>
        <v>0</v>
      </c>
      <c r="P37" s="30">
        <f>IF(P$1=Winner!$D37,'Ohana Matches'!$U37*0.4,
 IF(P$1=Winner!$E37,'Ohana Matches'!$U37*0.25,
 IF(P$1=Winner!$F37,'Ohana Matches'!$U37*0.15,
 IF(P$1=Winner!$G37,'Ohana Matches'!$U37*0.12,
 IF(P$1=Winner!$H37,'Ohana Matches'!$U37*0.08,0)))))</f>
        <v>0</v>
      </c>
      <c r="Q37" s="30">
        <f>IF(Q$1=Winner!$D37,'Ohana Matches'!$U37*0.4,
 IF(Q$1=Winner!$E37,'Ohana Matches'!$U37*0.25,
 IF(Q$1=Winner!$F37,'Ohana Matches'!$U37*0.15,
 IF(Q$1=Winner!$G37,'Ohana Matches'!$U37*0.12,
 IF(Q$1=Winner!$H37,'Ohana Matches'!$U37*0.08,0)))))</f>
        <v>0</v>
      </c>
      <c r="R37" s="26">
        <f t="shared" si="0"/>
        <v>0</v>
      </c>
    </row>
    <row r="38" spans="1:18">
      <c r="A38" s="27">
        <v>37</v>
      </c>
      <c r="B38" s="28">
        <v>46138</v>
      </c>
      <c r="C38" s="29" t="s">
        <v>152</v>
      </c>
      <c r="D38" s="30">
        <f>IF(D$1=Winner!$D38,'Ohana Matches'!$U38*0.4,
 IF(D$1=Winner!$E38,'Ohana Matches'!$U38*0.25,
 IF(D$1=Winner!$F38,'Ohana Matches'!$U38*0.15,
 IF(D$1=Winner!$G38,'Ohana Matches'!$U38*0.12,
 IF(D$1=Winner!$H38,'Ohana Matches'!$U38*0.08,0)))))</f>
        <v>0</v>
      </c>
      <c r="E38" s="30">
        <f>IF(E$1=Winner!$D38,'Ohana Matches'!$U38*0.4,
 IF(E$1=Winner!$E38,'Ohana Matches'!$U38*0.25,
 IF(E$1=Winner!$F38,'Ohana Matches'!$U38*0.15,
 IF(E$1=Winner!$G38,'Ohana Matches'!$U38*0.12,
 IF(E$1=Winner!$H38,'Ohana Matches'!$U38*0.08,0)))))</f>
        <v>0</v>
      </c>
      <c r="F38" s="30">
        <f>IF(F$1=Winner!$D38,'Ohana Matches'!$U38*0.4,
 IF(F$1=Winner!$E38,'Ohana Matches'!$U38*0.25,
 IF(F$1=Winner!$F38,'Ohana Matches'!$U38*0.15,
 IF(F$1=Winner!$G38,'Ohana Matches'!$U38*0.12,
 IF(F$1=Winner!$H38,'Ohana Matches'!$U38*0.08,0)))))</f>
        <v>0</v>
      </c>
      <c r="G38" s="30">
        <f>IF(G$1=Winner!$D38,'Ohana Matches'!$U38*0.4,
 IF(G$1=Winner!$E38,'Ohana Matches'!$U38*0.25,
 IF(G$1=Winner!$F38,'Ohana Matches'!$U38*0.15,
 IF(G$1=Winner!$G38,'Ohana Matches'!$U38*0.12,
 IF(G$1=Winner!$H38,'Ohana Matches'!$U38*0.08,0)))))</f>
        <v>0</v>
      </c>
      <c r="H38" s="30">
        <f>IF(H$1=Winner!$D38,'Ohana Matches'!$U38*0.4,
 IF(H$1=Winner!$E38,'Ohana Matches'!$U38*0.25,
 IF(H$1=Winner!$F38,'Ohana Matches'!$U38*0.15,
 IF(H$1=Winner!$G38,'Ohana Matches'!$U38*0.12,
 IF(H$1=Winner!$H38,'Ohana Matches'!$U38*0.08,0)))))</f>
        <v>0</v>
      </c>
      <c r="I38" s="30">
        <f>IF(I$1=Winner!$D38,'Ohana Matches'!$U38*0.4,
 IF(I$1=Winner!$E38,'Ohana Matches'!$U38*0.25,
 IF(I$1=Winner!$F38,'Ohana Matches'!$U38*0.15,
 IF(I$1=Winner!$G38,'Ohana Matches'!$U38*0.12,
 IF(I$1=Winner!$H38,'Ohana Matches'!$U38*0.08,0)))))</f>
        <v>0</v>
      </c>
      <c r="J38" s="30">
        <f>IF(J$1=Winner!$D38,'Ohana Matches'!$U38*0.4,
 IF(J$1=Winner!$E38,'Ohana Matches'!$U38*0.25,
 IF(J$1=Winner!$F38,'Ohana Matches'!$U38*0.15,
 IF(J$1=Winner!$G38,'Ohana Matches'!$U38*0.12,
 IF(J$1=Winner!$H38,'Ohana Matches'!$U38*0.08,0)))))</f>
        <v>0</v>
      </c>
      <c r="K38" s="30">
        <f>IF(K$1=Winner!$D38,'Ohana Matches'!$U38*0.4,
 IF(K$1=Winner!$E38,'Ohana Matches'!$U38*0.25,
 IF(K$1=Winner!$F38,'Ohana Matches'!$U38*0.15,
 IF(K$1=Winner!$G38,'Ohana Matches'!$U38*0.12,
 IF(K$1=Winner!$H38,'Ohana Matches'!$U38*0.08,0)))))</f>
        <v>0</v>
      </c>
      <c r="L38" s="30">
        <f>IF(L$1=Winner!$D38,'Ohana Matches'!$U38*0.4,
 IF(L$1=Winner!$E38,'Ohana Matches'!$U38*0.25,
 IF(L$1=Winner!$F38,'Ohana Matches'!$U38*0.15,
 IF(L$1=Winner!$G38,'Ohana Matches'!$U38*0.12,
 IF(L$1=Winner!$H38,'Ohana Matches'!$U38*0.08,0)))))</f>
        <v>0</v>
      </c>
      <c r="M38" s="30">
        <f>IF(M$1=Winner!$D38,'Ohana Matches'!$U38*0.4,
 IF(M$1=Winner!$E38,'Ohana Matches'!$U38*0.25,
 IF(M$1=Winner!$F38,'Ohana Matches'!$U38*0.15,
 IF(M$1=Winner!$G38,'Ohana Matches'!$U38*0.12,
 IF(M$1=Winner!$H38,'Ohana Matches'!$U38*0.08,0)))))</f>
        <v>0</v>
      </c>
      <c r="N38" s="30">
        <f>IF(N$1=Winner!$D38,'Ohana Matches'!$U38*0.4,
 IF(N$1=Winner!$E38,'Ohana Matches'!$U38*0.25,
 IF(N$1=Winner!$F38,'Ohana Matches'!$U38*0.15,
 IF(N$1=Winner!$G38,'Ohana Matches'!$U38*0.12,
 IF(N$1=Winner!$H38,'Ohana Matches'!$U38*0.08,0)))))</f>
        <v>0</v>
      </c>
      <c r="O38" s="30">
        <f>IF(O$1=Winner!$D38,'Ohana Matches'!$U38*0.4,
 IF(O$1=Winner!$E38,'Ohana Matches'!$U38*0.25,
 IF(O$1=Winner!$F38,'Ohana Matches'!$U38*0.15,
 IF(O$1=Winner!$G38,'Ohana Matches'!$U38*0.12,
 IF(O$1=Winner!$H38,'Ohana Matches'!$U38*0.08,0)))))</f>
        <v>0</v>
      </c>
      <c r="P38" s="30">
        <f>IF(P$1=Winner!$D38,'Ohana Matches'!$U38*0.4,
 IF(P$1=Winner!$E38,'Ohana Matches'!$U38*0.25,
 IF(P$1=Winner!$F38,'Ohana Matches'!$U38*0.15,
 IF(P$1=Winner!$G38,'Ohana Matches'!$U38*0.12,
 IF(P$1=Winner!$H38,'Ohana Matches'!$U38*0.08,0)))))</f>
        <v>0</v>
      </c>
      <c r="Q38" s="30">
        <f>IF(Q$1=Winner!$D38,'Ohana Matches'!$U38*0.4,
 IF(Q$1=Winner!$E38,'Ohana Matches'!$U38*0.25,
 IF(Q$1=Winner!$F38,'Ohana Matches'!$U38*0.15,
 IF(Q$1=Winner!$G38,'Ohana Matches'!$U38*0.12,
 IF(Q$1=Winner!$H38,'Ohana Matches'!$U38*0.08,0)))))</f>
        <v>0</v>
      </c>
      <c r="R38" s="26">
        <f t="shared" si="0"/>
        <v>0</v>
      </c>
    </row>
    <row r="39" spans="1:18">
      <c r="A39" s="27">
        <v>38</v>
      </c>
      <c r="B39" s="28">
        <v>46138</v>
      </c>
      <c r="C39" s="29" t="s">
        <v>153</v>
      </c>
      <c r="D39" s="30">
        <f>IF(D$1=Winner!$D39,'Ohana Matches'!$U39*0.4,
 IF(D$1=Winner!$E39,'Ohana Matches'!$U39*0.25,
 IF(D$1=Winner!$F39,'Ohana Matches'!$U39*0.15,
 IF(D$1=Winner!$G39,'Ohana Matches'!$U39*0.12,
 IF(D$1=Winner!$H39,'Ohana Matches'!$U39*0.08,0)))))</f>
        <v>0</v>
      </c>
      <c r="E39" s="30">
        <f>IF(E$1=Winner!$D39,'Ohana Matches'!$U39*0.4,
 IF(E$1=Winner!$E39,'Ohana Matches'!$U39*0.25,
 IF(E$1=Winner!$F39,'Ohana Matches'!$U39*0.15,
 IF(E$1=Winner!$G39,'Ohana Matches'!$U39*0.12,
 IF(E$1=Winner!$H39,'Ohana Matches'!$U39*0.08,0)))))</f>
        <v>0</v>
      </c>
      <c r="F39" s="30">
        <f>IF(F$1=Winner!$D39,'Ohana Matches'!$U39*0.4,
 IF(F$1=Winner!$E39,'Ohana Matches'!$U39*0.25,
 IF(F$1=Winner!$F39,'Ohana Matches'!$U39*0.15,
 IF(F$1=Winner!$G39,'Ohana Matches'!$U39*0.12,
 IF(F$1=Winner!$H39,'Ohana Matches'!$U39*0.08,0)))))</f>
        <v>0</v>
      </c>
      <c r="G39" s="30">
        <f>IF(G$1=Winner!$D39,'Ohana Matches'!$U39*0.4,
 IF(G$1=Winner!$E39,'Ohana Matches'!$U39*0.25,
 IF(G$1=Winner!$F39,'Ohana Matches'!$U39*0.15,
 IF(G$1=Winner!$G39,'Ohana Matches'!$U39*0.12,
 IF(G$1=Winner!$H39,'Ohana Matches'!$U39*0.08,0)))))</f>
        <v>0</v>
      </c>
      <c r="H39" s="30">
        <f>IF(H$1=Winner!$D39,'Ohana Matches'!$U39*0.4,
 IF(H$1=Winner!$E39,'Ohana Matches'!$U39*0.25,
 IF(H$1=Winner!$F39,'Ohana Matches'!$U39*0.15,
 IF(H$1=Winner!$G39,'Ohana Matches'!$U39*0.12,
 IF(H$1=Winner!$H39,'Ohana Matches'!$U39*0.08,0)))))</f>
        <v>0</v>
      </c>
      <c r="I39" s="30">
        <f>IF(I$1=Winner!$D39,'Ohana Matches'!$U39*0.4,
 IF(I$1=Winner!$E39,'Ohana Matches'!$U39*0.25,
 IF(I$1=Winner!$F39,'Ohana Matches'!$U39*0.15,
 IF(I$1=Winner!$G39,'Ohana Matches'!$U39*0.12,
 IF(I$1=Winner!$H39,'Ohana Matches'!$U39*0.08,0)))))</f>
        <v>0</v>
      </c>
      <c r="J39" s="30">
        <f>IF(J$1=Winner!$D39,'Ohana Matches'!$U39*0.4,
 IF(J$1=Winner!$E39,'Ohana Matches'!$U39*0.25,
 IF(J$1=Winner!$F39,'Ohana Matches'!$U39*0.15,
 IF(J$1=Winner!$G39,'Ohana Matches'!$U39*0.12,
 IF(J$1=Winner!$H39,'Ohana Matches'!$U39*0.08,0)))))</f>
        <v>0</v>
      </c>
      <c r="K39" s="30">
        <f>IF(K$1=Winner!$D39,'Ohana Matches'!$U39*0.4,
 IF(K$1=Winner!$E39,'Ohana Matches'!$U39*0.25,
 IF(K$1=Winner!$F39,'Ohana Matches'!$U39*0.15,
 IF(K$1=Winner!$G39,'Ohana Matches'!$U39*0.12,
 IF(K$1=Winner!$H39,'Ohana Matches'!$U39*0.08,0)))))</f>
        <v>0</v>
      </c>
      <c r="L39" s="30">
        <f>IF(L$1=Winner!$D39,'Ohana Matches'!$U39*0.4,
 IF(L$1=Winner!$E39,'Ohana Matches'!$U39*0.25,
 IF(L$1=Winner!$F39,'Ohana Matches'!$U39*0.15,
 IF(L$1=Winner!$G39,'Ohana Matches'!$U39*0.12,
 IF(L$1=Winner!$H39,'Ohana Matches'!$U39*0.08,0)))))</f>
        <v>0</v>
      </c>
      <c r="M39" s="30">
        <f>IF(M$1=Winner!$D39,'Ohana Matches'!$U39*0.4,
 IF(M$1=Winner!$E39,'Ohana Matches'!$U39*0.25,
 IF(M$1=Winner!$F39,'Ohana Matches'!$U39*0.15,
 IF(M$1=Winner!$G39,'Ohana Matches'!$U39*0.12,
 IF(M$1=Winner!$H39,'Ohana Matches'!$U39*0.08,0)))))</f>
        <v>0</v>
      </c>
      <c r="N39" s="30">
        <f>IF(N$1=Winner!$D39,'Ohana Matches'!$U39*0.4,
 IF(N$1=Winner!$E39,'Ohana Matches'!$U39*0.25,
 IF(N$1=Winner!$F39,'Ohana Matches'!$U39*0.15,
 IF(N$1=Winner!$G39,'Ohana Matches'!$U39*0.12,
 IF(N$1=Winner!$H39,'Ohana Matches'!$U39*0.08,0)))))</f>
        <v>0</v>
      </c>
      <c r="O39" s="30">
        <f>IF(O$1=Winner!$D39,'Ohana Matches'!$U39*0.4,
 IF(O$1=Winner!$E39,'Ohana Matches'!$U39*0.25,
 IF(O$1=Winner!$F39,'Ohana Matches'!$U39*0.15,
 IF(O$1=Winner!$G39,'Ohana Matches'!$U39*0.12,
 IF(O$1=Winner!$H39,'Ohana Matches'!$U39*0.08,0)))))</f>
        <v>0</v>
      </c>
      <c r="P39" s="30">
        <f>IF(P$1=Winner!$D39,'Ohana Matches'!$U39*0.4,
 IF(P$1=Winner!$E39,'Ohana Matches'!$U39*0.25,
 IF(P$1=Winner!$F39,'Ohana Matches'!$U39*0.15,
 IF(P$1=Winner!$G39,'Ohana Matches'!$U39*0.12,
 IF(P$1=Winner!$H39,'Ohana Matches'!$U39*0.08,0)))))</f>
        <v>0</v>
      </c>
      <c r="Q39" s="30">
        <f>IF(Q$1=Winner!$D39,'Ohana Matches'!$U39*0.4,
 IF(Q$1=Winner!$E39,'Ohana Matches'!$U39*0.25,
 IF(Q$1=Winner!$F39,'Ohana Matches'!$U39*0.15,
 IF(Q$1=Winner!$G39,'Ohana Matches'!$U39*0.12,
 IF(Q$1=Winner!$H39,'Ohana Matches'!$U39*0.08,0)))))</f>
        <v>0</v>
      </c>
      <c r="R39" s="26">
        <f t="shared" si="0"/>
        <v>0</v>
      </c>
    </row>
    <row r="40" spans="1:18">
      <c r="A40" s="27">
        <v>39</v>
      </c>
      <c r="B40" s="28">
        <v>46139</v>
      </c>
      <c r="C40" s="29" t="s">
        <v>154</v>
      </c>
      <c r="D40" s="30">
        <f>IF(D$1=Winner!$D40,'Ohana Matches'!$U40*0.4,
 IF(D$1=Winner!$E40,'Ohana Matches'!$U40*0.25,
 IF(D$1=Winner!$F40,'Ohana Matches'!$U40*0.15,
 IF(D$1=Winner!$G40,'Ohana Matches'!$U40*0.12,
 IF(D$1=Winner!$H40,'Ohana Matches'!$U40*0.08,0)))))</f>
        <v>0</v>
      </c>
      <c r="E40" s="30">
        <f>IF(E$1=Winner!$D40,'Ohana Matches'!$U40*0.4,
 IF(E$1=Winner!$E40,'Ohana Matches'!$U40*0.25,
 IF(E$1=Winner!$F40,'Ohana Matches'!$U40*0.15,
 IF(E$1=Winner!$G40,'Ohana Matches'!$U40*0.12,
 IF(E$1=Winner!$H40,'Ohana Matches'!$U40*0.08,0)))))</f>
        <v>0</v>
      </c>
      <c r="F40" s="30">
        <f>IF(F$1=Winner!$D40,'Ohana Matches'!$U40*0.4,
 IF(F$1=Winner!$E40,'Ohana Matches'!$U40*0.25,
 IF(F$1=Winner!$F40,'Ohana Matches'!$U40*0.15,
 IF(F$1=Winner!$G40,'Ohana Matches'!$U40*0.12,
 IF(F$1=Winner!$H40,'Ohana Matches'!$U40*0.08,0)))))</f>
        <v>0</v>
      </c>
      <c r="G40" s="30">
        <f>IF(G$1=Winner!$D40,'Ohana Matches'!$U40*0.4,
 IF(G$1=Winner!$E40,'Ohana Matches'!$U40*0.25,
 IF(G$1=Winner!$F40,'Ohana Matches'!$U40*0.15,
 IF(G$1=Winner!$G40,'Ohana Matches'!$U40*0.12,
 IF(G$1=Winner!$H40,'Ohana Matches'!$U40*0.08,0)))))</f>
        <v>0</v>
      </c>
      <c r="H40" s="30">
        <f>IF(H$1=Winner!$D40,'Ohana Matches'!$U40*0.4,
 IF(H$1=Winner!$E40,'Ohana Matches'!$U40*0.25,
 IF(H$1=Winner!$F40,'Ohana Matches'!$U40*0.15,
 IF(H$1=Winner!$G40,'Ohana Matches'!$U40*0.12,
 IF(H$1=Winner!$H40,'Ohana Matches'!$U40*0.08,0)))))</f>
        <v>0</v>
      </c>
      <c r="I40" s="30">
        <f>IF(I$1=Winner!$D40,'Ohana Matches'!$U40*0.4,
 IF(I$1=Winner!$E40,'Ohana Matches'!$U40*0.25,
 IF(I$1=Winner!$F40,'Ohana Matches'!$U40*0.15,
 IF(I$1=Winner!$G40,'Ohana Matches'!$U40*0.12,
 IF(I$1=Winner!$H40,'Ohana Matches'!$U40*0.08,0)))))</f>
        <v>0</v>
      </c>
      <c r="J40" s="30">
        <f>IF(J$1=Winner!$D40,'Ohana Matches'!$U40*0.4,
 IF(J$1=Winner!$E40,'Ohana Matches'!$U40*0.25,
 IF(J$1=Winner!$F40,'Ohana Matches'!$U40*0.15,
 IF(J$1=Winner!$G40,'Ohana Matches'!$U40*0.12,
 IF(J$1=Winner!$H40,'Ohana Matches'!$U40*0.08,0)))))</f>
        <v>0</v>
      </c>
      <c r="K40" s="30">
        <f>IF(K$1=Winner!$D40,'Ohana Matches'!$U40*0.4,
 IF(K$1=Winner!$E40,'Ohana Matches'!$U40*0.25,
 IF(K$1=Winner!$F40,'Ohana Matches'!$U40*0.15,
 IF(K$1=Winner!$G40,'Ohana Matches'!$U40*0.12,
 IF(K$1=Winner!$H40,'Ohana Matches'!$U40*0.08,0)))))</f>
        <v>0</v>
      </c>
      <c r="L40" s="30">
        <f>IF(L$1=Winner!$D40,'Ohana Matches'!$U40*0.4,
 IF(L$1=Winner!$E40,'Ohana Matches'!$U40*0.25,
 IF(L$1=Winner!$F40,'Ohana Matches'!$U40*0.15,
 IF(L$1=Winner!$G40,'Ohana Matches'!$U40*0.12,
 IF(L$1=Winner!$H40,'Ohana Matches'!$U40*0.08,0)))))</f>
        <v>0</v>
      </c>
      <c r="M40" s="30">
        <f>IF(M$1=Winner!$D40,'Ohana Matches'!$U40*0.4,
 IF(M$1=Winner!$E40,'Ohana Matches'!$U40*0.25,
 IF(M$1=Winner!$F40,'Ohana Matches'!$U40*0.15,
 IF(M$1=Winner!$G40,'Ohana Matches'!$U40*0.12,
 IF(M$1=Winner!$H40,'Ohana Matches'!$U40*0.08,0)))))</f>
        <v>0</v>
      </c>
      <c r="N40" s="30">
        <f>IF(N$1=Winner!$D40,'Ohana Matches'!$U40*0.4,
 IF(N$1=Winner!$E40,'Ohana Matches'!$U40*0.25,
 IF(N$1=Winner!$F40,'Ohana Matches'!$U40*0.15,
 IF(N$1=Winner!$G40,'Ohana Matches'!$U40*0.12,
 IF(N$1=Winner!$H40,'Ohana Matches'!$U40*0.08,0)))))</f>
        <v>0</v>
      </c>
      <c r="O40" s="30">
        <f>IF(O$1=Winner!$D40,'Ohana Matches'!$U40*0.4,
 IF(O$1=Winner!$E40,'Ohana Matches'!$U40*0.25,
 IF(O$1=Winner!$F40,'Ohana Matches'!$U40*0.15,
 IF(O$1=Winner!$G40,'Ohana Matches'!$U40*0.12,
 IF(O$1=Winner!$H40,'Ohana Matches'!$U40*0.08,0)))))</f>
        <v>0</v>
      </c>
      <c r="P40" s="30">
        <f>IF(P$1=Winner!$D40,'Ohana Matches'!$U40*0.4,
 IF(P$1=Winner!$E40,'Ohana Matches'!$U40*0.25,
 IF(P$1=Winner!$F40,'Ohana Matches'!$U40*0.15,
 IF(P$1=Winner!$G40,'Ohana Matches'!$U40*0.12,
 IF(P$1=Winner!$H40,'Ohana Matches'!$U40*0.08,0)))))</f>
        <v>0</v>
      </c>
      <c r="Q40" s="30">
        <f>IF(Q$1=Winner!$D40,'Ohana Matches'!$U40*0.4,
 IF(Q$1=Winner!$E40,'Ohana Matches'!$U40*0.25,
 IF(Q$1=Winner!$F40,'Ohana Matches'!$U40*0.15,
 IF(Q$1=Winner!$G40,'Ohana Matches'!$U40*0.12,
 IF(Q$1=Winner!$H40,'Ohana Matches'!$U40*0.08,0)))))</f>
        <v>0</v>
      </c>
      <c r="R40" s="26">
        <f t="shared" si="0"/>
        <v>0</v>
      </c>
    </row>
    <row r="41" spans="1:18">
      <c r="A41" s="27">
        <v>40</v>
      </c>
      <c r="B41" s="28">
        <v>46140</v>
      </c>
      <c r="C41" s="29" t="s">
        <v>155</v>
      </c>
      <c r="D41" s="30">
        <f>IF(D$1=Winner!$D41,'Ohana Matches'!$U41*0.4,
 IF(D$1=Winner!$E41,'Ohana Matches'!$U41*0.25,
 IF(D$1=Winner!$F41,'Ohana Matches'!$U41*0.15,
 IF(D$1=Winner!$G41,'Ohana Matches'!$U41*0.12,
 IF(D$1=Winner!$H41,'Ohana Matches'!$U41*0.08,0)))))</f>
        <v>0</v>
      </c>
      <c r="E41" s="30">
        <f>IF(E$1=Winner!$D41,'Ohana Matches'!$U41*0.4,
 IF(E$1=Winner!$E41,'Ohana Matches'!$U41*0.25,
 IF(E$1=Winner!$F41,'Ohana Matches'!$U41*0.15,
 IF(E$1=Winner!$G41,'Ohana Matches'!$U41*0.12,
 IF(E$1=Winner!$H41,'Ohana Matches'!$U41*0.08,0)))))</f>
        <v>0</v>
      </c>
      <c r="F41" s="30">
        <f>IF(F$1=Winner!$D41,'Ohana Matches'!$U41*0.4,
 IF(F$1=Winner!$E41,'Ohana Matches'!$U41*0.25,
 IF(F$1=Winner!$F41,'Ohana Matches'!$U41*0.15,
 IF(F$1=Winner!$G41,'Ohana Matches'!$U41*0.12,
 IF(F$1=Winner!$H41,'Ohana Matches'!$U41*0.08,0)))))</f>
        <v>0</v>
      </c>
      <c r="G41" s="30">
        <f>IF(G$1=Winner!$D41,'Ohana Matches'!$U41*0.4,
 IF(G$1=Winner!$E41,'Ohana Matches'!$U41*0.25,
 IF(G$1=Winner!$F41,'Ohana Matches'!$U41*0.15,
 IF(G$1=Winner!$G41,'Ohana Matches'!$U41*0.12,
 IF(G$1=Winner!$H41,'Ohana Matches'!$U41*0.08,0)))))</f>
        <v>0</v>
      </c>
      <c r="H41" s="30">
        <f>IF(H$1=Winner!$D41,'Ohana Matches'!$U41*0.4,
 IF(H$1=Winner!$E41,'Ohana Matches'!$U41*0.25,
 IF(H$1=Winner!$F41,'Ohana Matches'!$U41*0.15,
 IF(H$1=Winner!$G41,'Ohana Matches'!$U41*0.12,
 IF(H$1=Winner!$H41,'Ohana Matches'!$U41*0.08,0)))))</f>
        <v>0</v>
      </c>
      <c r="I41" s="30">
        <f>IF(I$1=Winner!$D41,'Ohana Matches'!$U41*0.4,
 IF(I$1=Winner!$E41,'Ohana Matches'!$U41*0.25,
 IF(I$1=Winner!$F41,'Ohana Matches'!$U41*0.15,
 IF(I$1=Winner!$G41,'Ohana Matches'!$U41*0.12,
 IF(I$1=Winner!$H41,'Ohana Matches'!$U41*0.08,0)))))</f>
        <v>0</v>
      </c>
      <c r="J41" s="30">
        <f>IF(J$1=Winner!$D41,'Ohana Matches'!$U41*0.4,
 IF(J$1=Winner!$E41,'Ohana Matches'!$U41*0.25,
 IF(J$1=Winner!$F41,'Ohana Matches'!$U41*0.15,
 IF(J$1=Winner!$G41,'Ohana Matches'!$U41*0.12,
 IF(J$1=Winner!$H41,'Ohana Matches'!$U41*0.08,0)))))</f>
        <v>0</v>
      </c>
      <c r="K41" s="30">
        <f>IF(K$1=Winner!$D41,'Ohana Matches'!$U41*0.4,
 IF(K$1=Winner!$E41,'Ohana Matches'!$U41*0.25,
 IF(K$1=Winner!$F41,'Ohana Matches'!$U41*0.15,
 IF(K$1=Winner!$G41,'Ohana Matches'!$U41*0.12,
 IF(K$1=Winner!$H41,'Ohana Matches'!$U41*0.08,0)))))</f>
        <v>0</v>
      </c>
      <c r="L41" s="30">
        <f>IF(L$1=Winner!$D41,'Ohana Matches'!$U41*0.4,
 IF(L$1=Winner!$E41,'Ohana Matches'!$U41*0.25,
 IF(L$1=Winner!$F41,'Ohana Matches'!$U41*0.15,
 IF(L$1=Winner!$G41,'Ohana Matches'!$U41*0.12,
 IF(L$1=Winner!$H41,'Ohana Matches'!$U41*0.08,0)))))</f>
        <v>0</v>
      </c>
      <c r="M41" s="30">
        <f>IF(M$1=Winner!$D41,'Ohana Matches'!$U41*0.4,
 IF(M$1=Winner!$E41,'Ohana Matches'!$U41*0.25,
 IF(M$1=Winner!$F41,'Ohana Matches'!$U41*0.15,
 IF(M$1=Winner!$G41,'Ohana Matches'!$U41*0.12,
 IF(M$1=Winner!$H41,'Ohana Matches'!$U41*0.08,0)))))</f>
        <v>0</v>
      </c>
      <c r="N41" s="30">
        <f>IF(N$1=Winner!$D41,'Ohana Matches'!$U41*0.4,
 IF(N$1=Winner!$E41,'Ohana Matches'!$U41*0.25,
 IF(N$1=Winner!$F41,'Ohana Matches'!$U41*0.15,
 IF(N$1=Winner!$G41,'Ohana Matches'!$U41*0.12,
 IF(N$1=Winner!$H41,'Ohana Matches'!$U41*0.08,0)))))</f>
        <v>0</v>
      </c>
      <c r="O41" s="30">
        <f>IF(O$1=Winner!$D41,'Ohana Matches'!$U41*0.4,
 IF(O$1=Winner!$E41,'Ohana Matches'!$U41*0.25,
 IF(O$1=Winner!$F41,'Ohana Matches'!$U41*0.15,
 IF(O$1=Winner!$G41,'Ohana Matches'!$U41*0.12,
 IF(O$1=Winner!$H41,'Ohana Matches'!$U41*0.08,0)))))</f>
        <v>0</v>
      </c>
      <c r="P41" s="30">
        <f>IF(P$1=Winner!$D41,'Ohana Matches'!$U41*0.4,
 IF(P$1=Winner!$E41,'Ohana Matches'!$U41*0.25,
 IF(P$1=Winner!$F41,'Ohana Matches'!$U41*0.15,
 IF(P$1=Winner!$G41,'Ohana Matches'!$U41*0.12,
 IF(P$1=Winner!$H41,'Ohana Matches'!$U41*0.08,0)))))</f>
        <v>0</v>
      </c>
      <c r="Q41" s="30">
        <f>IF(Q$1=Winner!$D41,'Ohana Matches'!$U41*0.4,
 IF(Q$1=Winner!$E41,'Ohana Matches'!$U41*0.25,
 IF(Q$1=Winner!$F41,'Ohana Matches'!$U41*0.15,
 IF(Q$1=Winner!$G41,'Ohana Matches'!$U41*0.12,
 IF(Q$1=Winner!$H41,'Ohana Matches'!$U41*0.08,0)))))</f>
        <v>0</v>
      </c>
      <c r="R41" s="26">
        <f t="shared" si="0"/>
        <v>0</v>
      </c>
    </row>
    <row r="42" spans="1:18">
      <c r="A42" s="27">
        <v>41</v>
      </c>
      <c r="B42" s="28">
        <v>46141</v>
      </c>
      <c r="C42" s="29" t="s">
        <v>156</v>
      </c>
      <c r="D42" s="30">
        <f>IF(D$1=Winner!$D42,'Ohana Matches'!$U42*0.4,
 IF(D$1=Winner!$E42,'Ohana Matches'!$U42*0.25,
 IF(D$1=Winner!$F42,'Ohana Matches'!$U42*0.15,
 IF(D$1=Winner!$G42,'Ohana Matches'!$U42*0.12,
 IF(D$1=Winner!$H42,'Ohana Matches'!$U42*0.08,0)))))</f>
        <v>0</v>
      </c>
      <c r="E42" s="30">
        <f>IF(E$1=Winner!$D42,'Ohana Matches'!$U42*0.4,
 IF(E$1=Winner!$E42,'Ohana Matches'!$U42*0.25,
 IF(E$1=Winner!$F42,'Ohana Matches'!$U42*0.15,
 IF(E$1=Winner!$G42,'Ohana Matches'!$U42*0.12,
 IF(E$1=Winner!$H42,'Ohana Matches'!$U42*0.08,0)))))</f>
        <v>0</v>
      </c>
      <c r="F42" s="30">
        <f>IF(F$1=Winner!$D42,'Ohana Matches'!$U42*0.4,
 IF(F$1=Winner!$E42,'Ohana Matches'!$U42*0.25,
 IF(F$1=Winner!$F42,'Ohana Matches'!$U42*0.15,
 IF(F$1=Winner!$G42,'Ohana Matches'!$U42*0.12,
 IF(F$1=Winner!$H42,'Ohana Matches'!$U42*0.08,0)))))</f>
        <v>0</v>
      </c>
      <c r="G42" s="30">
        <f>IF(G$1=Winner!$D42,'Ohana Matches'!$U42*0.4,
 IF(G$1=Winner!$E42,'Ohana Matches'!$U42*0.25,
 IF(G$1=Winner!$F42,'Ohana Matches'!$U42*0.15,
 IF(G$1=Winner!$G42,'Ohana Matches'!$U42*0.12,
 IF(G$1=Winner!$H42,'Ohana Matches'!$U42*0.08,0)))))</f>
        <v>0</v>
      </c>
      <c r="H42" s="30">
        <f>IF(H$1=Winner!$D42,'Ohana Matches'!$U42*0.4,
 IF(H$1=Winner!$E42,'Ohana Matches'!$U42*0.25,
 IF(H$1=Winner!$F42,'Ohana Matches'!$U42*0.15,
 IF(H$1=Winner!$G42,'Ohana Matches'!$U42*0.12,
 IF(H$1=Winner!$H42,'Ohana Matches'!$U42*0.08,0)))))</f>
        <v>0</v>
      </c>
      <c r="I42" s="30">
        <f>IF(I$1=Winner!$D42,'Ohana Matches'!$U42*0.4,
 IF(I$1=Winner!$E42,'Ohana Matches'!$U42*0.25,
 IF(I$1=Winner!$F42,'Ohana Matches'!$U42*0.15,
 IF(I$1=Winner!$G42,'Ohana Matches'!$U42*0.12,
 IF(I$1=Winner!$H42,'Ohana Matches'!$U42*0.08,0)))))</f>
        <v>0</v>
      </c>
      <c r="J42" s="30">
        <f>IF(J$1=Winner!$D42,'Ohana Matches'!$U42*0.4,
 IF(J$1=Winner!$E42,'Ohana Matches'!$U42*0.25,
 IF(J$1=Winner!$F42,'Ohana Matches'!$U42*0.15,
 IF(J$1=Winner!$G42,'Ohana Matches'!$U42*0.12,
 IF(J$1=Winner!$H42,'Ohana Matches'!$U42*0.08,0)))))</f>
        <v>0</v>
      </c>
      <c r="K42" s="30">
        <f>IF(K$1=Winner!$D42,'Ohana Matches'!$U42*0.4,
 IF(K$1=Winner!$E42,'Ohana Matches'!$U42*0.25,
 IF(K$1=Winner!$F42,'Ohana Matches'!$U42*0.15,
 IF(K$1=Winner!$G42,'Ohana Matches'!$U42*0.12,
 IF(K$1=Winner!$H42,'Ohana Matches'!$U42*0.08,0)))))</f>
        <v>0</v>
      </c>
      <c r="L42" s="30">
        <f>IF(L$1=Winner!$D42,'Ohana Matches'!$U42*0.4,
 IF(L$1=Winner!$E42,'Ohana Matches'!$U42*0.25,
 IF(L$1=Winner!$F42,'Ohana Matches'!$U42*0.15,
 IF(L$1=Winner!$G42,'Ohana Matches'!$U42*0.12,
 IF(L$1=Winner!$H42,'Ohana Matches'!$U42*0.08,0)))))</f>
        <v>0</v>
      </c>
      <c r="M42" s="30">
        <f>IF(M$1=Winner!$D42,'Ohana Matches'!$U42*0.4,
 IF(M$1=Winner!$E42,'Ohana Matches'!$U42*0.25,
 IF(M$1=Winner!$F42,'Ohana Matches'!$U42*0.15,
 IF(M$1=Winner!$G42,'Ohana Matches'!$U42*0.12,
 IF(M$1=Winner!$H42,'Ohana Matches'!$U42*0.08,0)))))</f>
        <v>0</v>
      </c>
      <c r="N42" s="30">
        <f>IF(N$1=Winner!$D42,'Ohana Matches'!$U42*0.4,
 IF(N$1=Winner!$E42,'Ohana Matches'!$U42*0.25,
 IF(N$1=Winner!$F42,'Ohana Matches'!$U42*0.15,
 IF(N$1=Winner!$G42,'Ohana Matches'!$U42*0.12,
 IF(N$1=Winner!$H42,'Ohana Matches'!$U42*0.08,0)))))</f>
        <v>0</v>
      </c>
      <c r="O42" s="30">
        <f>IF(O$1=Winner!$D42,'Ohana Matches'!$U42*0.4,
 IF(O$1=Winner!$E42,'Ohana Matches'!$U42*0.25,
 IF(O$1=Winner!$F42,'Ohana Matches'!$U42*0.15,
 IF(O$1=Winner!$G42,'Ohana Matches'!$U42*0.12,
 IF(O$1=Winner!$H42,'Ohana Matches'!$U42*0.08,0)))))</f>
        <v>0</v>
      </c>
      <c r="P42" s="30">
        <f>IF(P$1=Winner!$D42,'Ohana Matches'!$U42*0.4,
 IF(P$1=Winner!$E42,'Ohana Matches'!$U42*0.25,
 IF(P$1=Winner!$F42,'Ohana Matches'!$U42*0.15,
 IF(P$1=Winner!$G42,'Ohana Matches'!$U42*0.12,
 IF(P$1=Winner!$H42,'Ohana Matches'!$U42*0.08,0)))))</f>
        <v>0</v>
      </c>
      <c r="Q42" s="30">
        <f>IF(Q$1=Winner!$D42,'Ohana Matches'!$U42*0.4,
 IF(Q$1=Winner!$E42,'Ohana Matches'!$U42*0.25,
 IF(Q$1=Winner!$F42,'Ohana Matches'!$U42*0.15,
 IF(Q$1=Winner!$G42,'Ohana Matches'!$U42*0.12,
 IF(Q$1=Winner!$H42,'Ohana Matches'!$U42*0.08,0)))))</f>
        <v>0</v>
      </c>
      <c r="R42" s="26">
        <f t="shared" si="0"/>
        <v>0</v>
      </c>
    </row>
    <row r="43" spans="1:18">
      <c r="A43" s="27">
        <v>42</v>
      </c>
      <c r="B43" s="28">
        <v>46142</v>
      </c>
      <c r="C43" s="29" t="s">
        <v>157</v>
      </c>
      <c r="D43" s="30">
        <f>IF(D$1=Winner!$D43,'Ohana Matches'!$U43*0.4,
 IF(D$1=Winner!$E43,'Ohana Matches'!$U43*0.25,
 IF(D$1=Winner!$F43,'Ohana Matches'!$U43*0.15,
 IF(D$1=Winner!$G43,'Ohana Matches'!$U43*0.12,
 IF(D$1=Winner!$H43,'Ohana Matches'!$U43*0.08,0)))))</f>
        <v>0</v>
      </c>
      <c r="E43" s="30">
        <f>IF(E$1=Winner!$D43,'Ohana Matches'!$U43*0.4,
 IF(E$1=Winner!$E43,'Ohana Matches'!$U43*0.25,
 IF(E$1=Winner!$F43,'Ohana Matches'!$U43*0.15,
 IF(E$1=Winner!$G43,'Ohana Matches'!$U43*0.12,
 IF(E$1=Winner!$H43,'Ohana Matches'!$U43*0.08,0)))))</f>
        <v>0</v>
      </c>
      <c r="F43" s="30">
        <f>IF(F$1=Winner!$D43,'Ohana Matches'!$U43*0.4,
 IF(F$1=Winner!$E43,'Ohana Matches'!$U43*0.25,
 IF(F$1=Winner!$F43,'Ohana Matches'!$U43*0.15,
 IF(F$1=Winner!$G43,'Ohana Matches'!$U43*0.12,
 IF(F$1=Winner!$H43,'Ohana Matches'!$U43*0.08,0)))))</f>
        <v>0</v>
      </c>
      <c r="G43" s="30">
        <f>IF(G$1=Winner!$D43,'Ohana Matches'!$U43*0.4,
 IF(G$1=Winner!$E43,'Ohana Matches'!$U43*0.25,
 IF(G$1=Winner!$F43,'Ohana Matches'!$U43*0.15,
 IF(G$1=Winner!$G43,'Ohana Matches'!$U43*0.12,
 IF(G$1=Winner!$H43,'Ohana Matches'!$U43*0.08,0)))))</f>
        <v>0</v>
      </c>
      <c r="H43" s="30">
        <f>IF(H$1=Winner!$D43,'Ohana Matches'!$U43*0.4,
 IF(H$1=Winner!$E43,'Ohana Matches'!$U43*0.25,
 IF(H$1=Winner!$F43,'Ohana Matches'!$U43*0.15,
 IF(H$1=Winner!$G43,'Ohana Matches'!$U43*0.12,
 IF(H$1=Winner!$H43,'Ohana Matches'!$U43*0.08,0)))))</f>
        <v>0</v>
      </c>
      <c r="I43" s="30">
        <f>IF(I$1=Winner!$D43,'Ohana Matches'!$U43*0.4,
 IF(I$1=Winner!$E43,'Ohana Matches'!$U43*0.25,
 IF(I$1=Winner!$F43,'Ohana Matches'!$U43*0.15,
 IF(I$1=Winner!$G43,'Ohana Matches'!$U43*0.12,
 IF(I$1=Winner!$H43,'Ohana Matches'!$U43*0.08,0)))))</f>
        <v>0</v>
      </c>
      <c r="J43" s="30">
        <f>IF(J$1=Winner!$D43,'Ohana Matches'!$U43*0.4,
 IF(J$1=Winner!$E43,'Ohana Matches'!$U43*0.25,
 IF(J$1=Winner!$F43,'Ohana Matches'!$U43*0.15,
 IF(J$1=Winner!$G43,'Ohana Matches'!$U43*0.12,
 IF(J$1=Winner!$H43,'Ohana Matches'!$U43*0.08,0)))))</f>
        <v>0</v>
      </c>
      <c r="K43" s="30">
        <f>IF(K$1=Winner!$D43,'Ohana Matches'!$U43*0.4,
 IF(K$1=Winner!$E43,'Ohana Matches'!$U43*0.25,
 IF(K$1=Winner!$F43,'Ohana Matches'!$U43*0.15,
 IF(K$1=Winner!$G43,'Ohana Matches'!$U43*0.12,
 IF(K$1=Winner!$H43,'Ohana Matches'!$U43*0.08,0)))))</f>
        <v>0</v>
      </c>
      <c r="L43" s="30">
        <f>IF(L$1=Winner!$D43,'Ohana Matches'!$U43*0.4,
 IF(L$1=Winner!$E43,'Ohana Matches'!$U43*0.25,
 IF(L$1=Winner!$F43,'Ohana Matches'!$U43*0.15,
 IF(L$1=Winner!$G43,'Ohana Matches'!$U43*0.12,
 IF(L$1=Winner!$H43,'Ohana Matches'!$U43*0.08,0)))))</f>
        <v>0</v>
      </c>
      <c r="M43" s="30">
        <f>IF(M$1=Winner!$D43,'Ohana Matches'!$U43*0.4,
 IF(M$1=Winner!$E43,'Ohana Matches'!$U43*0.25,
 IF(M$1=Winner!$F43,'Ohana Matches'!$U43*0.15,
 IF(M$1=Winner!$G43,'Ohana Matches'!$U43*0.12,
 IF(M$1=Winner!$H43,'Ohana Matches'!$U43*0.08,0)))))</f>
        <v>0</v>
      </c>
      <c r="N43" s="30">
        <f>IF(N$1=Winner!$D43,'Ohana Matches'!$U43*0.4,
 IF(N$1=Winner!$E43,'Ohana Matches'!$U43*0.25,
 IF(N$1=Winner!$F43,'Ohana Matches'!$U43*0.15,
 IF(N$1=Winner!$G43,'Ohana Matches'!$U43*0.12,
 IF(N$1=Winner!$H43,'Ohana Matches'!$U43*0.08,0)))))</f>
        <v>0</v>
      </c>
      <c r="O43" s="30">
        <f>IF(O$1=Winner!$D43,'Ohana Matches'!$U43*0.4,
 IF(O$1=Winner!$E43,'Ohana Matches'!$U43*0.25,
 IF(O$1=Winner!$F43,'Ohana Matches'!$U43*0.15,
 IF(O$1=Winner!$G43,'Ohana Matches'!$U43*0.12,
 IF(O$1=Winner!$H43,'Ohana Matches'!$U43*0.08,0)))))</f>
        <v>0</v>
      </c>
      <c r="P43" s="30">
        <f>IF(P$1=Winner!$D43,'Ohana Matches'!$U43*0.4,
 IF(P$1=Winner!$E43,'Ohana Matches'!$U43*0.25,
 IF(P$1=Winner!$F43,'Ohana Matches'!$U43*0.15,
 IF(P$1=Winner!$G43,'Ohana Matches'!$U43*0.12,
 IF(P$1=Winner!$H43,'Ohana Matches'!$U43*0.08,0)))))</f>
        <v>0</v>
      </c>
      <c r="Q43" s="30">
        <f>IF(Q$1=Winner!$D43,'Ohana Matches'!$U43*0.4,
 IF(Q$1=Winner!$E43,'Ohana Matches'!$U43*0.25,
 IF(Q$1=Winner!$F43,'Ohana Matches'!$U43*0.15,
 IF(Q$1=Winner!$G43,'Ohana Matches'!$U43*0.12,
 IF(Q$1=Winner!$H43,'Ohana Matches'!$U43*0.08,0)))))</f>
        <v>0</v>
      </c>
      <c r="R43" s="26">
        <f t="shared" si="0"/>
        <v>0</v>
      </c>
    </row>
    <row r="44" spans="1:18">
      <c r="A44" s="27">
        <v>43</v>
      </c>
      <c r="B44" s="28">
        <v>46143</v>
      </c>
      <c r="C44" s="29" t="s">
        <v>158</v>
      </c>
      <c r="D44" s="30">
        <f>IF(D$1=Winner!$D44,'Ohana Matches'!$U44*0.4,
 IF(D$1=Winner!$E44,'Ohana Matches'!$U44*0.25,
 IF(D$1=Winner!$F44,'Ohana Matches'!$U44*0.15,
 IF(D$1=Winner!$G44,'Ohana Matches'!$U44*0.12,
 IF(D$1=Winner!$H44,'Ohana Matches'!$U44*0.08,0)))))</f>
        <v>0</v>
      </c>
      <c r="E44" s="30">
        <f>IF(E$1=Winner!$D44,'Ohana Matches'!$U44*0.4,
 IF(E$1=Winner!$E44,'Ohana Matches'!$U44*0.25,
 IF(E$1=Winner!$F44,'Ohana Matches'!$U44*0.15,
 IF(E$1=Winner!$G44,'Ohana Matches'!$U44*0.12,
 IF(E$1=Winner!$H44,'Ohana Matches'!$U44*0.08,0)))))</f>
        <v>0</v>
      </c>
      <c r="F44" s="30">
        <f>IF(F$1=Winner!$D44,'Ohana Matches'!$U44*0.4,
 IF(F$1=Winner!$E44,'Ohana Matches'!$U44*0.25,
 IF(F$1=Winner!$F44,'Ohana Matches'!$U44*0.15,
 IF(F$1=Winner!$G44,'Ohana Matches'!$U44*0.12,
 IF(F$1=Winner!$H44,'Ohana Matches'!$U44*0.08,0)))))</f>
        <v>0</v>
      </c>
      <c r="G44" s="30">
        <f>IF(G$1=Winner!$D44,'Ohana Matches'!$U44*0.4,
 IF(G$1=Winner!$E44,'Ohana Matches'!$U44*0.25,
 IF(G$1=Winner!$F44,'Ohana Matches'!$U44*0.15,
 IF(G$1=Winner!$G44,'Ohana Matches'!$U44*0.12,
 IF(G$1=Winner!$H44,'Ohana Matches'!$U44*0.08,0)))))</f>
        <v>0</v>
      </c>
      <c r="H44" s="30">
        <f>IF(H$1=Winner!$D44,'Ohana Matches'!$U44*0.4,
 IF(H$1=Winner!$E44,'Ohana Matches'!$U44*0.25,
 IF(H$1=Winner!$F44,'Ohana Matches'!$U44*0.15,
 IF(H$1=Winner!$G44,'Ohana Matches'!$U44*0.12,
 IF(H$1=Winner!$H44,'Ohana Matches'!$U44*0.08,0)))))</f>
        <v>0</v>
      </c>
      <c r="I44" s="30">
        <f>IF(I$1=Winner!$D44,'Ohana Matches'!$U44*0.4,
 IF(I$1=Winner!$E44,'Ohana Matches'!$U44*0.25,
 IF(I$1=Winner!$F44,'Ohana Matches'!$U44*0.15,
 IF(I$1=Winner!$G44,'Ohana Matches'!$U44*0.12,
 IF(I$1=Winner!$H44,'Ohana Matches'!$U44*0.08,0)))))</f>
        <v>0</v>
      </c>
      <c r="J44" s="30">
        <f>IF(J$1=Winner!$D44,'Ohana Matches'!$U44*0.4,
 IF(J$1=Winner!$E44,'Ohana Matches'!$U44*0.25,
 IF(J$1=Winner!$F44,'Ohana Matches'!$U44*0.15,
 IF(J$1=Winner!$G44,'Ohana Matches'!$U44*0.12,
 IF(J$1=Winner!$H44,'Ohana Matches'!$U44*0.08,0)))))</f>
        <v>0</v>
      </c>
      <c r="K44" s="30">
        <f>IF(K$1=Winner!$D44,'Ohana Matches'!$U44*0.4,
 IF(K$1=Winner!$E44,'Ohana Matches'!$U44*0.25,
 IF(K$1=Winner!$F44,'Ohana Matches'!$U44*0.15,
 IF(K$1=Winner!$G44,'Ohana Matches'!$U44*0.12,
 IF(K$1=Winner!$H44,'Ohana Matches'!$U44*0.08,0)))))</f>
        <v>0</v>
      </c>
      <c r="L44" s="30">
        <f>IF(L$1=Winner!$D44,'Ohana Matches'!$U44*0.4,
 IF(L$1=Winner!$E44,'Ohana Matches'!$U44*0.25,
 IF(L$1=Winner!$F44,'Ohana Matches'!$U44*0.15,
 IF(L$1=Winner!$G44,'Ohana Matches'!$U44*0.12,
 IF(L$1=Winner!$H44,'Ohana Matches'!$U44*0.08,0)))))</f>
        <v>0</v>
      </c>
      <c r="M44" s="30">
        <f>IF(M$1=Winner!$D44,'Ohana Matches'!$U44*0.4,
 IF(M$1=Winner!$E44,'Ohana Matches'!$U44*0.25,
 IF(M$1=Winner!$F44,'Ohana Matches'!$U44*0.15,
 IF(M$1=Winner!$G44,'Ohana Matches'!$U44*0.12,
 IF(M$1=Winner!$H44,'Ohana Matches'!$U44*0.08,0)))))</f>
        <v>0</v>
      </c>
      <c r="N44" s="30">
        <f>IF(N$1=Winner!$D44,'Ohana Matches'!$U44*0.4,
 IF(N$1=Winner!$E44,'Ohana Matches'!$U44*0.25,
 IF(N$1=Winner!$F44,'Ohana Matches'!$U44*0.15,
 IF(N$1=Winner!$G44,'Ohana Matches'!$U44*0.12,
 IF(N$1=Winner!$H44,'Ohana Matches'!$U44*0.08,0)))))</f>
        <v>0</v>
      </c>
      <c r="O44" s="30">
        <f>IF(O$1=Winner!$D44,'Ohana Matches'!$U44*0.4,
 IF(O$1=Winner!$E44,'Ohana Matches'!$U44*0.25,
 IF(O$1=Winner!$F44,'Ohana Matches'!$U44*0.15,
 IF(O$1=Winner!$G44,'Ohana Matches'!$U44*0.12,
 IF(O$1=Winner!$H44,'Ohana Matches'!$U44*0.08,0)))))</f>
        <v>0</v>
      </c>
      <c r="P44" s="30">
        <f>IF(P$1=Winner!$D44,'Ohana Matches'!$U44*0.4,
 IF(P$1=Winner!$E44,'Ohana Matches'!$U44*0.25,
 IF(P$1=Winner!$F44,'Ohana Matches'!$U44*0.15,
 IF(P$1=Winner!$G44,'Ohana Matches'!$U44*0.12,
 IF(P$1=Winner!$H44,'Ohana Matches'!$U44*0.08,0)))))</f>
        <v>0</v>
      </c>
      <c r="Q44" s="30">
        <f>IF(Q$1=Winner!$D44,'Ohana Matches'!$U44*0.4,
 IF(Q$1=Winner!$E44,'Ohana Matches'!$U44*0.25,
 IF(Q$1=Winner!$F44,'Ohana Matches'!$U44*0.15,
 IF(Q$1=Winner!$G44,'Ohana Matches'!$U44*0.12,
 IF(Q$1=Winner!$H44,'Ohana Matches'!$U44*0.08,0)))))</f>
        <v>0</v>
      </c>
      <c r="R44" s="26">
        <f t="shared" si="0"/>
        <v>0</v>
      </c>
    </row>
    <row r="45" spans="1:18">
      <c r="A45" s="27">
        <v>44</v>
      </c>
      <c r="B45" s="28">
        <v>46144</v>
      </c>
      <c r="C45" s="29" t="s">
        <v>159</v>
      </c>
      <c r="D45" s="30">
        <f>IF(D$1=Winner!$D45,'Ohana Matches'!$U45*0.4,
 IF(D$1=Winner!$E45,'Ohana Matches'!$U45*0.25,
 IF(D$1=Winner!$F45,'Ohana Matches'!$U45*0.15,
 IF(D$1=Winner!$G45,'Ohana Matches'!$U45*0.12,
 IF(D$1=Winner!$H45,'Ohana Matches'!$U45*0.08,0)))))</f>
        <v>0</v>
      </c>
      <c r="E45" s="30">
        <f>IF(E$1=Winner!$D45,'Ohana Matches'!$U45*0.4,
 IF(E$1=Winner!$E45,'Ohana Matches'!$U45*0.25,
 IF(E$1=Winner!$F45,'Ohana Matches'!$U45*0.15,
 IF(E$1=Winner!$G45,'Ohana Matches'!$U45*0.12,
 IF(E$1=Winner!$H45,'Ohana Matches'!$U45*0.08,0)))))</f>
        <v>0</v>
      </c>
      <c r="F45" s="30">
        <f>IF(F$1=Winner!$D45,'Ohana Matches'!$U45*0.4,
 IF(F$1=Winner!$E45,'Ohana Matches'!$U45*0.25,
 IF(F$1=Winner!$F45,'Ohana Matches'!$U45*0.15,
 IF(F$1=Winner!$G45,'Ohana Matches'!$U45*0.12,
 IF(F$1=Winner!$H45,'Ohana Matches'!$U45*0.08,0)))))</f>
        <v>0</v>
      </c>
      <c r="G45" s="30">
        <f>IF(G$1=Winner!$D45,'Ohana Matches'!$U45*0.4,
 IF(G$1=Winner!$E45,'Ohana Matches'!$U45*0.25,
 IF(G$1=Winner!$F45,'Ohana Matches'!$U45*0.15,
 IF(G$1=Winner!$G45,'Ohana Matches'!$U45*0.12,
 IF(G$1=Winner!$H45,'Ohana Matches'!$U45*0.08,0)))))</f>
        <v>0</v>
      </c>
      <c r="H45" s="30">
        <f>IF(H$1=Winner!$D45,'Ohana Matches'!$U45*0.4,
 IF(H$1=Winner!$E45,'Ohana Matches'!$U45*0.25,
 IF(H$1=Winner!$F45,'Ohana Matches'!$U45*0.15,
 IF(H$1=Winner!$G45,'Ohana Matches'!$U45*0.12,
 IF(H$1=Winner!$H45,'Ohana Matches'!$U45*0.08,0)))))</f>
        <v>0</v>
      </c>
      <c r="I45" s="30">
        <f>IF(I$1=Winner!$D45,'Ohana Matches'!$U45*0.4,
 IF(I$1=Winner!$E45,'Ohana Matches'!$U45*0.25,
 IF(I$1=Winner!$F45,'Ohana Matches'!$U45*0.15,
 IF(I$1=Winner!$G45,'Ohana Matches'!$U45*0.12,
 IF(I$1=Winner!$H45,'Ohana Matches'!$U45*0.08,0)))))</f>
        <v>0</v>
      </c>
      <c r="J45" s="30">
        <f>IF(J$1=Winner!$D45,'Ohana Matches'!$U45*0.4,
 IF(J$1=Winner!$E45,'Ohana Matches'!$U45*0.25,
 IF(J$1=Winner!$F45,'Ohana Matches'!$U45*0.15,
 IF(J$1=Winner!$G45,'Ohana Matches'!$U45*0.12,
 IF(J$1=Winner!$H45,'Ohana Matches'!$U45*0.08,0)))))</f>
        <v>0</v>
      </c>
      <c r="K45" s="30">
        <f>IF(K$1=Winner!$D45,'Ohana Matches'!$U45*0.4,
 IF(K$1=Winner!$E45,'Ohana Matches'!$U45*0.25,
 IF(K$1=Winner!$F45,'Ohana Matches'!$U45*0.15,
 IF(K$1=Winner!$G45,'Ohana Matches'!$U45*0.12,
 IF(K$1=Winner!$H45,'Ohana Matches'!$U45*0.08,0)))))</f>
        <v>0</v>
      </c>
      <c r="L45" s="30">
        <f>IF(L$1=Winner!$D45,'Ohana Matches'!$U45*0.4,
 IF(L$1=Winner!$E45,'Ohana Matches'!$U45*0.25,
 IF(L$1=Winner!$F45,'Ohana Matches'!$U45*0.15,
 IF(L$1=Winner!$G45,'Ohana Matches'!$U45*0.12,
 IF(L$1=Winner!$H45,'Ohana Matches'!$U45*0.08,0)))))</f>
        <v>0</v>
      </c>
      <c r="M45" s="30">
        <f>IF(M$1=Winner!$D45,'Ohana Matches'!$U45*0.4,
 IF(M$1=Winner!$E45,'Ohana Matches'!$U45*0.25,
 IF(M$1=Winner!$F45,'Ohana Matches'!$U45*0.15,
 IF(M$1=Winner!$G45,'Ohana Matches'!$U45*0.12,
 IF(M$1=Winner!$H45,'Ohana Matches'!$U45*0.08,0)))))</f>
        <v>0</v>
      </c>
      <c r="N45" s="30">
        <f>IF(N$1=Winner!$D45,'Ohana Matches'!$U45*0.4,
 IF(N$1=Winner!$E45,'Ohana Matches'!$U45*0.25,
 IF(N$1=Winner!$F45,'Ohana Matches'!$U45*0.15,
 IF(N$1=Winner!$G45,'Ohana Matches'!$U45*0.12,
 IF(N$1=Winner!$H45,'Ohana Matches'!$U45*0.08,0)))))</f>
        <v>0</v>
      </c>
      <c r="O45" s="30">
        <f>IF(O$1=Winner!$D45,'Ohana Matches'!$U45*0.4,
 IF(O$1=Winner!$E45,'Ohana Matches'!$U45*0.25,
 IF(O$1=Winner!$F45,'Ohana Matches'!$U45*0.15,
 IF(O$1=Winner!$G45,'Ohana Matches'!$U45*0.12,
 IF(O$1=Winner!$H45,'Ohana Matches'!$U45*0.08,0)))))</f>
        <v>0</v>
      </c>
      <c r="P45" s="30">
        <f>IF(P$1=Winner!$D45,'Ohana Matches'!$U45*0.4,
 IF(P$1=Winner!$E45,'Ohana Matches'!$U45*0.25,
 IF(P$1=Winner!$F45,'Ohana Matches'!$U45*0.15,
 IF(P$1=Winner!$G45,'Ohana Matches'!$U45*0.12,
 IF(P$1=Winner!$H45,'Ohana Matches'!$U45*0.08,0)))))</f>
        <v>0</v>
      </c>
      <c r="Q45" s="30">
        <f>IF(Q$1=Winner!$D45,'Ohana Matches'!$U45*0.4,
 IF(Q$1=Winner!$E45,'Ohana Matches'!$U45*0.25,
 IF(Q$1=Winner!$F45,'Ohana Matches'!$U45*0.15,
 IF(Q$1=Winner!$G45,'Ohana Matches'!$U45*0.12,
 IF(Q$1=Winner!$H45,'Ohana Matches'!$U45*0.08,0)))))</f>
        <v>0</v>
      </c>
      <c r="R45" s="26">
        <f t="shared" si="0"/>
        <v>0</v>
      </c>
    </row>
    <row r="46" spans="1:18">
      <c r="A46" s="27">
        <v>45</v>
      </c>
      <c r="B46" s="28">
        <v>46145</v>
      </c>
      <c r="C46" s="29" t="s">
        <v>121</v>
      </c>
      <c r="D46" s="30">
        <f>IF(D$1=Winner!$D46,'Ohana Matches'!$U46*0.4,
 IF(D$1=Winner!$E46,'Ohana Matches'!$U46*0.25,
 IF(D$1=Winner!$F46,'Ohana Matches'!$U46*0.15,
 IF(D$1=Winner!$G46,'Ohana Matches'!$U46*0.12,
 IF(D$1=Winner!$H46,'Ohana Matches'!$U46*0.08,0)))))</f>
        <v>0</v>
      </c>
      <c r="E46" s="30">
        <f>IF(E$1=Winner!$D46,'Ohana Matches'!$U46*0.4,
 IF(E$1=Winner!$E46,'Ohana Matches'!$U46*0.25,
 IF(E$1=Winner!$F46,'Ohana Matches'!$U46*0.15,
 IF(E$1=Winner!$G46,'Ohana Matches'!$U46*0.12,
 IF(E$1=Winner!$H46,'Ohana Matches'!$U46*0.08,0)))))</f>
        <v>0</v>
      </c>
      <c r="F46" s="30">
        <f>IF(F$1=Winner!$D46,'Ohana Matches'!$U46*0.4,
 IF(F$1=Winner!$E46,'Ohana Matches'!$U46*0.25,
 IF(F$1=Winner!$F46,'Ohana Matches'!$U46*0.15,
 IF(F$1=Winner!$G46,'Ohana Matches'!$U46*0.12,
 IF(F$1=Winner!$H46,'Ohana Matches'!$U46*0.08,0)))))</f>
        <v>0</v>
      </c>
      <c r="G46" s="30">
        <f>IF(G$1=Winner!$D46,'Ohana Matches'!$U46*0.4,
 IF(G$1=Winner!$E46,'Ohana Matches'!$U46*0.25,
 IF(G$1=Winner!$F46,'Ohana Matches'!$U46*0.15,
 IF(G$1=Winner!$G46,'Ohana Matches'!$U46*0.12,
 IF(G$1=Winner!$H46,'Ohana Matches'!$U46*0.08,0)))))</f>
        <v>0</v>
      </c>
      <c r="H46" s="30">
        <f>IF(H$1=Winner!$D46,'Ohana Matches'!$U46*0.4,
 IF(H$1=Winner!$E46,'Ohana Matches'!$U46*0.25,
 IF(H$1=Winner!$F46,'Ohana Matches'!$U46*0.15,
 IF(H$1=Winner!$G46,'Ohana Matches'!$U46*0.12,
 IF(H$1=Winner!$H46,'Ohana Matches'!$U46*0.08,0)))))</f>
        <v>0</v>
      </c>
      <c r="I46" s="30">
        <f>IF(I$1=Winner!$D46,'Ohana Matches'!$U46*0.4,
 IF(I$1=Winner!$E46,'Ohana Matches'!$U46*0.25,
 IF(I$1=Winner!$F46,'Ohana Matches'!$U46*0.15,
 IF(I$1=Winner!$G46,'Ohana Matches'!$U46*0.12,
 IF(I$1=Winner!$H46,'Ohana Matches'!$U46*0.08,0)))))</f>
        <v>0</v>
      </c>
      <c r="J46" s="30">
        <f>IF(J$1=Winner!$D46,'Ohana Matches'!$U46*0.4,
 IF(J$1=Winner!$E46,'Ohana Matches'!$U46*0.25,
 IF(J$1=Winner!$F46,'Ohana Matches'!$U46*0.15,
 IF(J$1=Winner!$G46,'Ohana Matches'!$U46*0.12,
 IF(J$1=Winner!$H46,'Ohana Matches'!$U46*0.08,0)))))</f>
        <v>0</v>
      </c>
      <c r="K46" s="30">
        <f>IF(K$1=Winner!$D46,'Ohana Matches'!$U46*0.4,
 IF(K$1=Winner!$E46,'Ohana Matches'!$U46*0.25,
 IF(K$1=Winner!$F46,'Ohana Matches'!$U46*0.15,
 IF(K$1=Winner!$G46,'Ohana Matches'!$U46*0.12,
 IF(K$1=Winner!$H46,'Ohana Matches'!$U46*0.08,0)))))</f>
        <v>0</v>
      </c>
      <c r="L46" s="30">
        <f>IF(L$1=Winner!$D46,'Ohana Matches'!$U46*0.4,
 IF(L$1=Winner!$E46,'Ohana Matches'!$U46*0.25,
 IF(L$1=Winner!$F46,'Ohana Matches'!$U46*0.15,
 IF(L$1=Winner!$G46,'Ohana Matches'!$U46*0.12,
 IF(L$1=Winner!$H46,'Ohana Matches'!$U46*0.08,0)))))</f>
        <v>0</v>
      </c>
      <c r="M46" s="30">
        <f>IF(M$1=Winner!$D46,'Ohana Matches'!$U46*0.4,
 IF(M$1=Winner!$E46,'Ohana Matches'!$U46*0.25,
 IF(M$1=Winner!$F46,'Ohana Matches'!$U46*0.15,
 IF(M$1=Winner!$G46,'Ohana Matches'!$U46*0.12,
 IF(M$1=Winner!$H46,'Ohana Matches'!$U46*0.08,0)))))</f>
        <v>0</v>
      </c>
      <c r="N46" s="30">
        <f>IF(N$1=Winner!$D46,'Ohana Matches'!$U46*0.4,
 IF(N$1=Winner!$E46,'Ohana Matches'!$U46*0.25,
 IF(N$1=Winner!$F46,'Ohana Matches'!$U46*0.15,
 IF(N$1=Winner!$G46,'Ohana Matches'!$U46*0.12,
 IF(N$1=Winner!$H46,'Ohana Matches'!$U46*0.08,0)))))</f>
        <v>0</v>
      </c>
      <c r="O46" s="30">
        <f>IF(O$1=Winner!$D46,'Ohana Matches'!$U46*0.4,
 IF(O$1=Winner!$E46,'Ohana Matches'!$U46*0.25,
 IF(O$1=Winner!$F46,'Ohana Matches'!$U46*0.15,
 IF(O$1=Winner!$G46,'Ohana Matches'!$U46*0.12,
 IF(O$1=Winner!$H46,'Ohana Matches'!$U46*0.08,0)))))</f>
        <v>0</v>
      </c>
      <c r="P46" s="30">
        <f>IF(P$1=Winner!$D46,'Ohana Matches'!$U46*0.4,
 IF(P$1=Winner!$E46,'Ohana Matches'!$U46*0.25,
 IF(P$1=Winner!$F46,'Ohana Matches'!$U46*0.15,
 IF(P$1=Winner!$G46,'Ohana Matches'!$U46*0.12,
 IF(P$1=Winner!$H46,'Ohana Matches'!$U46*0.08,0)))))</f>
        <v>0</v>
      </c>
      <c r="Q46" s="30">
        <f>IF(Q$1=Winner!$D46,'Ohana Matches'!$U46*0.4,
 IF(Q$1=Winner!$E46,'Ohana Matches'!$U46*0.25,
 IF(Q$1=Winner!$F46,'Ohana Matches'!$U46*0.15,
 IF(Q$1=Winner!$G46,'Ohana Matches'!$U46*0.12,
 IF(Q$1=Winner!$H46,'Ohana Matches'!$U46*0.08,0)))))</f>
        <v>0</v>
      </c>
      <c r="R46" s="26">
        <f t="shared" si="0"/>
        <v>0</v>
      </c>
    </row>
    <row r="47" spans="1:18">
      <c r="A47" s="27">
        <v>46</v>
      </c>
      <c r="B47" s="28">
        <v>46145</v>
      </c>
      <c r="C47" s="29" t="s">
        <v>119</v>
      </c>
      <c r="D47" s="30">
        <f>IF(D$1=Winner!$D47,'Ohana Matches'!$U47*0.4,
 IF(D$1=Winner!$E47,'Ohana Matches'!$U47*0.25,
 IF(D$1=Winner!$F47,'Ohana Matches'!$U47*0.15,
 IF(D$1=Winner!$G47,'Ohana Matches'!$U47*0.12,
 IF(D$1=Winner!$H47,'Ohana Matches'!$U47*0.08,0)))))</f>
        <v>0</v>
      </c>
      <c r="E47" s="30">
        <f>IF(E$1=Winner!$D47,'Ohana Matches'!$U47*0.4,
 IF(E$1=Winner!$E47,'Ohana Matches'!$U47*0.25,
 IF(E$1=Winner!$F47,'Ohana Matches'!$U47*0.15,
 IF(E$1=Winner!$G47,'Ohana Matches'!$U47*0.12,
 IF(E$1=Winner!$H47,'Ohana Matches'!$U47*0.08,0)))))</f>
        <v>0</v>
      </c>
      <c r="F47" s="30">
        <f>IF(F$1=Winner!$D47,'Ohana Matches'!$U47*0.4,
 IF(F$1=Winner!$E47,'Ohana Matches'!$U47*0.25,
 IF(F$1=Winner!$F47,'Ohana Matches'!$U47*0.15,
 IF(F$1=Winner!$G47,'Ohana Matches'!$U47*0.12,
 IF(F$1=Winner!$H47,'Ohana Matches'!$U47*0.08,0)))))</f>
        <v>0</v>
      </c>
      <c r="G47" s="30">
        <f>IF(G$1=Winner!$D47,'Ohana Matches'!$U47*0.4,
 IF(G$1=Winner!$E47,'Ohana Matches'!$U47*0.25,
 IF(G$1=Winner!$F47,'Ohana Matches'!$U47*0.15,
 IF(G$1=Winner!$G47,'Ohana Matches'!$U47*0.12,
 IF(G$1=Winner!$H47,'Ohana Matches'!$U47*0.08,0)))))</f>
        <v>0</v>
      </c>
      <c r="H47" s="30">
        <f>IF(H$1=Winner!$D47,'Ohana Matches'!$U47*0.4,
 IF(H$1=Winner!$E47,'Ohana Matches'!$U47*0.25,
 IF(H$1=Winner!$F47,'Ohana Matches'!$U47*0.15,
 IF(H$1=Winner!$G47,'Ohana Matches'!$U47*0.12,
 IF(H$1=Winner!$H47,'Ohana Matches'!$U47*0.08,0)))))</f>
        <v>0</v>
      </c>
      <c r="I47" s="30">
        <f>IF(I$1=Winner!$D47,'Ohana Matches'!$U47*0.4,
 IF(I$1=Winner!$E47,'Ohana Matches'!$U47*0.25,
 IF(I$1=Winner!$F47,'Ohana Matches'!$U47*0.15,
 IF(I$1=Winner!$G47,'Ohana Matches'!$U47*0.12,
 IF(I$1=Winner!$H47,'Ohana Matches'!$U47*0.08,0)))))</f>
        <v>0</v>
      </c>
      <c r="J47" s="30">
        <f>IF(J$1=Winner!$D47,'Ohana Matches'!$U47*0.4,
 IF(J$1=Winner!$E47,'Ohana Matches'!$U47*0.25,
 IF(J$1=Winner!$F47,'Ohana Matches'!$U47*0.15,
 IF(J$1=Winner!$G47,'Ohana Matches'!$U47*0.12,
 IF(J$1=Winner!$H47,'Ohana Matches'!$U47*0.08,0)))))</f>
        <v>0</v>
      </c>
      <c r="K47" s="30">
        <f>IF(K$1=Winner!$D47,'Ohana Matches'!$U47*0.4,
 IF(K$1=Winner!$E47,'Ohana Matches'!$U47*0.25,
 IF(K$1=Winner!$F47,'Ohana Matches'!$U47*0.15,
 IF(K$1=Winner!$G47,'Ohana Matches'!$U47*0.12,
 IF(K$1=Winner!$H47,'Ohana Matches'!$U47*0.08,0)))))</f>
        <v>0</v>
      </c>
      <c r="L47" s="30">
        <f>IF(L$1=Winner!$D47,'Ohana Matches'!$U47*0.4,
 IF(L$1=Winner!$E47,'Ohana Matches'!$U47*0.25,
 IF(L$1=Winner!$F47,'Ohana Matches'!$U47*0.15,
 IF(L$1=Winner!$G47,'Ohana Matches'!$U47*0.12,
 IF(L$1=Winner!$H47,'Ohana Matches'!$U47*0.08,0)))))</f>
        <v>0</v>
      </c>
      <c r="M47" s="30">
        <f>IF(M$1=Winner!$D47,'Ohana Matches'!$U47*0.4,
 IF(M$1=Winner!$E47,'Ohana Matches'!$U47*0.25,
 IF(M$1=Winner!$F47,'Ohana Matches'!$U47*0.15,
 IF(M$1=Winner!$G47,'Ohana Matches'!$U47*0.12,
 IF(M$1=Winner!$H47,'Ohana Matches'!$U47*0.08,0)))))</f>
        <v>0</v>
      </c>
      <c r="N47" s="30">
        <f>IF(N$1=Winner!$D47,'Ohana Matches'!$U47*0.4,
 IF(N$1=Winner!$E47,'Ohana Matches'!$U47*0.25,
 IF(N$1=Winner!$F47,'Ohana Matches'!$U47*0.15,
 IF(N$1=Winner!$G47,'Ohana Matches'!$U47*0.12,
 IF(N$1=Winner!$H47,'Ohana Matches'!$U47*0.08,0)))))</f>
        <v>0</v>
      </c>
      <c r="O47" s="30">
        <f>IF(O$1=Winner!$D47,'Ohana Matches'!$U47*0.4,
 IF(O$1=Winner!$E47,'Ohana Matches'!$U47*0.25,
 IF(O$1=Winner!$F47,'Ohana Matches'!$U47*0.15,
 IF(O$1=Winner!$G47,'Ohana Matches'!$U47*0.12,
 IF(O$1=Winner!$H47,'Ohana Matches'!$U47*0.08,0)))))</f>
        <v>0</v>
      </c>
      <c r="P47" s="30">
        <f>IF(P$1=Winner!$D47,'Ohana Matches'!$U47*0.4,
 IF(P$1=Winner!$E47,'Ohana Matches'!$U47*0.25,
 IF(P$1=Winner!$F47,'Ohana Matches'!$U47*0.15,
 IF(P$1=Winner!$G47,'Ohana Matches'!$U47*0.12,
 IF(P$1=Winner!$H47,'Ohana Matches'!$U47*0.08,0)))))</f>
        <v>0</v>
      </c>
      <c r="Q47" s="30">
        <f>IF(Q$1=Winner!$D47,'Ohana Matches'!$U47*0.4,
 IF(Q$1=Winner!$E47,'Ohana Matches'!$U47*0.25,
 IF(Q$1=Winner!$F47,'Ohana Matches'!$U47*0.15,
 IF(Q$1=Winner!$G47,'Ohana Matches'!$U47*0.12,
 IF(Q$1=Winner!$H47,'Ohana Matches'!$U47*0.08,0)))))</f>
        <v>0</v>
      </c>
      <c r="R47" s="26">
        <f t="shared" si="0"/>
        <v>0</v>
      </c>
    </row>
    <row r="48" spans="1:18">
      <c r="A48" s="27">
        <v>47</v>
      </c>
      <c r="B48" s="28">
        <v>46146</v>
      </c>
      <c r="C48" s="29" t="s">
        <v>160</v>
      </c>
      <c r="D48" s="30">
        <f>IF(D$1=Winner!$D48,'Ohana Matches'!$U48*0.4,
 IF(D$1=Winner!$E48,'Ohana Matches'!$U48*0.25,
 IF(D$1=Winner!$F48,'Ohana Matches'!$U48*0.15,
 IF(D$1=Winner!$G48,'Ohana Matches'!$U48*0.12,
 IF(D$1=Winner!$H48,'Ohana Matches'!$U48*0.08,0)))))</f>
        <v>0</v>
      </c>
      <c r="E48" s="30">
        <f>IF(E$1=Winner!$D48,'Ohana Matches'!$U48*0.4,
 IF(E$1=Winner!$E48,'Ohana Matches'!$U48*0.25,
 IF(E$1=Winner!$F48,'Ohana Matches'!$U48*0.15,
 IF(E$1=Winner!$G48,'Ohana Matches'!$U48*0.12,
 IF(E$1=Winner!$H48,'Ohana Matches'!$U48*0.08,0)))))</f>
        <v>0</v>
      </c>
      <c r="F48" s="30">
        <f>IF(F$1=Winner!$D48,'Ohana Matches'!$U48*0.4,
 IF(F$1=Winner!$E48,'Ohana Matches'!$U48*0.25,
 IF(F$1=Winner!$F48,'Ohana Matches'!$U48*0.15,
 IF(F$1=Winner!$G48,'Ohana Matches'!$U48*0.12,
 IF(F$1=Winner!$H48,'Ohana Matches'!$U48*0.08,0)))))</f>
        <v>0</v>
      </c>
      <c r="G48" s="30">
        <f>IF(G$1=Winner!$D48,'Ohana Matches'!$U48*0.4,
 IF(G$1=Winner!$E48,'Ohana Matches'!$U48*0.25,
 IF(G$1=Winner!$F48,'Ohana Matches'!$U48*0.15,
 IF(G$1=Winner!$G48,'Ohana Matches'!$U48*0.12,
 IF(G$1=Winner!$H48,'Ohana Matches'!$U48*0.08,0)))))</f>
        <v>0</v>
      </c>
      <c r="H48" s="30">
        <f>IF(H$1=Winner!$D48,'Ohana Matches'!$U48*0.4,
 IF(H$1=Winner!$E48,'Ohana Matches'!$U48*0.25,
 IF(H$1=Winner!$F48,'Ohana Matches'!$U48*0.15,
 IF(H$1=Winner!$G48,'Ohana Matches'!$U48*0.12,
 IF(H$1=Winner!$H48,'Ohana Matches'!$U48*0.08,0)))))</f>
        <v>0</v>
      </c>
      <c r="I48" s="30">
        <f>IF(I$1=Winner!$D48,'Ohana Matches'!$U48*0.4,
 IF(I$1=Winner!$E48,'Ohana Matches'!$U48*0.25,
 IF(I$1=Winner!$F48,'Ohana Matches'!$U48*0.15,
 IF(I$1=Winner!$G48,'Ohana Matches'!$U48*0.12,
 IF(I$1=Winner!$H48,'Ohana Matches'!$U48*0.08,0)))))</f>
        <v>0</v>
      </c>
      <c r="J48" s="30">
        <f>IF(J$1=Winner!$D48,'Ohana Matches'!$U48*0.4,
 IF(J$1=Winner!$E48,'Ohana Matches'!$U48*0.25,
 IF(J$1=Winner!$F48,'Ohana Matches'!$U48*0.15,
 IF(J$1=Winner!$G48,'Ohana Matches'!$U48*0.12,
 IF(J$1=Winner!$H48,'Ohana Matches'!$U48*0.08,0)))))</f>
        <v>0</v>
      </c>
      <c r="K48" s="30">
        <f>IF(K$1=Winner!$D48,'Ohana Matches'!$U48*0.4,
 IF(K$1=Winner!$E48,'Ohana Matches'!$U48*0.25,
 IF(K$1=Winner!$F48,'Ohana Matches'!$U48*0.15,
 IF(K$1=Winner!$G48,'Ohana Matches'!$U48*0.12,
 IF(K$1=Winner!$H48,'Ohana Matches'!$U48*0.08,0)))))</f>
        <v>0</v>
      </c>
      <c r="L48" s="30">
        <f>IF(L$1=Winner!$D48,'Ohana Matches'!$U48*0.4,
 IF(L$1=Winner!$E48,'Ohana Matches'!$U48*0.25,
 IF(L$1=Winner!$F48,'Ohana Matches'!$U48*0.15,
 IF(L$1=Winner!$G48,'Ohana Matches'!$U48*0.12,
 IF(L$1=Winner!$H48,'Ohana Matches'!$U48*0.08,0)))))</f>
        <v>0</v>
      </c>
      <c r="M48" s="30">
        <f>IF(M$1=Winner!$D48,'Ohana Matches'!$U48*0.4,
 IF(M$1=Winner!$E48,'Ohana Matches'!$U48*0.25,
 IF(M$1=Winner!$F48,'Ohana Matches'!$U48*0.15,
 IF(M$1=Winner!$G48,'Ohana Matches'!$U48*0.12,
 IF(M$1=Winner!$H48,'Ohana Matches'!$U48*0.08,0)))))</f>
        <v>0</v>
      </c>
      <c r="N48" s="30">
        <f>IF(N$1=Winner!$D48,'Ohana Matches'!$U48*0.4,
 IF(N$1=Winner!$E48,'Ohana Matches'!$U48*0.25,
 IF(N$1=Winner!$F48,'Ohana Matches'!$U48*0.15,
 IF(N$1=Winner!$G48,'Ohana Matches'!$U48*0.12,
 IF(N$1=Winner!$H48,'Ohana Matches'!$U48*0.08,0)))))</f>
        <v>0</v>
      </c>
      <c r="O48" s="30">
        <f>IF(O$1=Winner!$D48,'Ohana Matches'!$U48*0.4,
 IF(O$1=Winner!$E48,'Ohana Matches'!$U48*0.25,
 IF(O$1=Winner!$F48,'Ohana Matches'!$U48*0.15,
 IF(O$1=Winner!$G48,'Ohana Matches'!$U48*0.12,
 IF(O$1=Winner!$H48,'Ohana Matches'!$U48*0.08,0)))))</f>
        <v>0</v>
      </c>
      <c r="P48" s="30">
        <f>IF(P$1=Winner!$D48,'Ohana Matches'!$U48*0.4,
 IF(P$1=Winner!$E48,'Ohana Matches'!$U48*0.25,
 IF(P$1=Winner!$F48,'Ohana Matches'!$U48*0.15,
 IF(P$1=Winner!$G48,'Ohana Matches'!$U48*0.12,
 IF(P$1=Winner!$H48,'Ohana Matches'!$U48*0.08,0)))))</f>
        <v>0</v>
      </c>
      <c r="Q48" s="30">
        <f>IF(Q$1=Winner!$D48,'Ohana Matches'!$U48*0.4,
 IF(Q$1=Winner!$E48,'Ohana Matches'!$U48*0.25,
 IF(Q$1=Winner!$F48,'Ohana Matches'!$U48*0.15,
 IF(Q$1=Winner!$G48,'Ohana Matches'!$U48*0.12,
 IF(Q$1=Winner!$H48,'Ohana Matches'!$U48*0.08,0)))))</f>
        <v>0</v>
      </c>
      <c r="R48" s="26">
        <f t="shared" si="0"/>
        <v>0</v>
      </c>
    </row>
    <row r="49" spans="1:18">
      <c r="A49" s="27">
        <v>48</v>
      </c>
      <c r="B49" s="28">
        <v>46147</v>
      </c>
      <c r="C49" s="29" t="s">
        <v>161</v>
      </c>
      <c r="D49" s="30">
        <f>IF(D$1=Winner!$D49,'Ohana Matches'!$U49*0.4,
 IF(D$1=Winner!$E49,'Ohana Matches'!$U49*0.25,
 IF(D$1=Winner!$F49,'Ohana Matches'!$U49*0.15,
 IF(D$1=Winner!$G49,'Ohana Matches'!$U49*0.12,
 IF(D$1=Winner!$H49,'Ohana Matches'!$U49*0.08,0)))))</f>
        <v>0</v>
      </c>
      <c r="E49" s="30">
        <f>IF(E$1=Winner!$D49,'Ohana Matches'!$U49*0.4,
 IF(E$1=Winner!$E49,'Ohana Matches'!$U49*0.25,
 IF(E$1=Winner!$F49,'Ohana Matches'!$U49*0.15,
 IF(E$1=Winner!$G49,'Ohana Matches'!$U49*0.12,
 IF(E$1=Winner!$H49,'Ohana Matches'!$U49*0.08,0)))))</f>
        <v>0</v>
      </c>
      <c r="F49" s="30">
        <f>IF(F$1=Winner!$D49,'Ohana Matches'!$U49*0.4,
 IF(F$1=Winner!$E49,'Ohana Matches'!$U49*0.25,
 IF(F$1=Winner!$F49,'Ohana Matches'!$U49*0.15,
 IF(F$1=Winner!$G49,'Ohana Matches'!$U49*0.12,
 IF(F$1=Winner!$H49,'Ohana Matches'!$U49*0.08,0)))))</f>
        <v>0</v>
      </c>
      <c r="G49" s="30">
        <f>IF(G$1=Winner!$D49,'Ohana Matches'!$U49*0.4,
 IF(G$1=Winner!$E49,'Ohana Matches'!$U49*0.25,
 IF(G$1=Winner!$F49,'Ohana Matches'!$U49*0.15,
 IF(G$1=Winner!$G49,'Ohana Matches'!$U49*0.12,
 IF(G$1=Winner!$H49,'Ohana Matches'!$U49*0.08,0)))))</f>
        <v>0</v>
      </c>
      <c r="H49" s="30">
        <f>IF(H$1=Winner!$D49,'Ohana Matches'!$U49*0.4,
 IF(H$1=Winner!$E49,'Ohana Matches'!$U49*0.25,
 IF(H$1=Winner!$F49,'Ohana Matches'!$U49*0.15,
 IF(H$1=Winner!$G49,'Ohana Matches'!$U49*0.12,
 IF(H$1=Winner!$H49,'Ohana Matches'!$U49*0.08,0)))))</f>
        <v>0</v>
      </c>
      <c r="I49" s="30">
        <f>IF(I$1=Winner!$D49,'Ohana Matches'!$U49*0.4,
 IF(I$1=Winner!$E49,'Ohana Matches'!$U49*0.25,
 IF(I$1=Winner!$F49,'Ohana Matches'!$U49*0.15,
 IF(I$1=Winner!$G49,'Ohana Matches'!$U49*0.12,
 IF(I$1=Winner!$H49,'Ohana Matches'!$U49*0.08,0)))))</f>
        <v>0</v>
      </c>
      <c r="J49" s="30">
        <f>IF(J$1=Winner!$D49,'Ohana Matches'!$U49*0.4,
 IF(J$1=Winner!$E49,'Ohana Matches'!$U49*0.25,
 IF(J$1=Winner!$F49,'Ohana Matches'!$U49*0.15,
 IF(J$1=Winner!$G49,'Ohana Matches'!$U49*0.12,
 IF(J$1=Winner!$H49,'Ohana Matches'!$U49*0.08,0)))))</f>
        <v>0</v>
      </c>
      <c r="K49" s="30">
        <f>IF(K$1=Winner!$D49,'Ohana Matches'!$U49*0.4,
 IF(K$1=Winner!$E49,'Ohana Matches'!$U49*0.25,
 IF(K$1=Winner!$F49,'Ohana Matches'!$U49*0.15,
 IF(K$1=Winner!$G49,'Ohana Matches'!$U49*0.12,
 IF(K$1=Winner!$H49,'Ohana Matches'!$U49*0.08,0)))))</f>
        <v>0</v>
      </c>
      <c r="L49" s="30">
        <f>IF(L$1=Winner!$D49,'Ohana Matches'!$U49*0.4,
 IF(L$1=Winner!$E49,'Ohana Matches'!$U49*0.25,
 IF(L$1=Winner!$F49,'Ohana Matches'!$U49*0.15,
 IF(L$1=Winner!$G49,'Ohana Matches'!$U49*0.12,
 IF(L$1=Winner!$H49,'Ohana Matches'!$U49*0.08,0)))))</f>
        <v>0</v>
      </c>
      <c r="M49" s="30">
        <f>IF(M$1=Winner!$D49,'Ohana Matches'!$U49*0.4,
 IF(M$1=Winner!$E49,'Ohana Matches'!$U49*0.25,
 IF(M$1=Winner!$F49,'Ohana Matches'!$U49*0.15,
 IF(M$1=Winner!$G49,'Ohana Matches'!$U49*0.12,
 IF(M$1=Winner!$H49,'Ohana Matches'!$U49*0.08,0)))))</f>
        <v>0</v>
      </c>
      <c r="N49" s="30">
        <f>IF(N$1=Winner!$D49,'Ohana Matches'!$U49*0.4,
 IF(N$1=Winner!$E49,'Ohana Matches'!$U49*0.25,
 IF(N$1=Winner!$F49,'Ohana Matches'!$U49*0.15,
 IF(N$1=Winner!$G49,'Ohana Matches'!$U49*0.12,
 IF(N$1=Winner!$H49,'Ohana Matches'!$U49*0.08,0)))))</f>
        <v>0</v>
      </c>
      <c r="O49" s="30">
        <f>IF(O$1=Winner!$D49,'Ohana Matches'!$U49*0.4,
 IF(O$1=Winner!$E49,'Ohana Matches'!$U49*0.25,
 IF(O$1=Winner!$F49,'Ohana Matches'!$U49*0.15,
 IF(O$1=Winner!$G49,'Ohana Matches'!$U49*0.12,
 IF(O$1=Winner!$H49,'Ohana Matches'!$U49*0.08,0)))))</f>
        <v>0</v>
      </c>
      <c r="P49" s="30">
        <f>IF(P$1=Winner!$D49,'Ohana Matches'!$U49*0.4,
 IF(P$1=Winner!$E49,'Ohana Matches'!$U49*0.25,
 IF(P$1=Winner!$F49,'Ohana Matches'!$U49*0.15,
 IF(P$1=Winner!$G49,'Ohana Matches'!$U49*0.12,
 IF(P$1=Winner!$H49,'Ohana Matches'!$U49*0.08,0)))))</f>
        <v>0</v>
      </c>
      <c r="Q49" s="30">
        <f>IF(Q$1=Winner!$D49,'Ohana Matches'!$U49*0.4,
 IF(Q$1=Winner!$E49,'Ohana Matches'!$U49*0.25,
 IF(Q$1=Winner!$F49,'Ohana Matches'!$U49*0.15,
 IF(Q$1=Winner!$G49,'Ohana Matches'!$U49*0.12,
 IF(Q$1=Winner!$H49,'Ohana Matches'!$U49*0.08,0)))))</f>
        <v>0</v>
      </c>
      <c r="R49" s="26">
        <f t="shared" si="0"/>
        <v>0</v>
      </c>
    </row>
    <row r="50" spans="1:18">
      <c r="A50" s="27">
        <v>49</v>
      </c>
      <c r="B50" s="28">
        <v>46148</v>
      </c>
      <c r="C50" s="29" t="s">
        <v>162</v>
      </c>
      <c r="D50" s="30">
        <f>IF(D$1=Winner!$D50,'Ohana Matches'!$U50*0.4,
 IF(D$1=Winner!$E50,'Ohana Matches'!$U50*0.25,
 IF(D$1=Winner!$F50,'Ohana Matches'!$U50*0.15,
 IF(D$1=Winner!$G50,'Ohana Matches'!$U50*0.12,
 IF(D$1=Winner!$H50,'Ohana Matches'!$U50*0.08,0)))))</f>
        <v>0</v>
      </c>
      <c r="E50" s="30">
        <f>IF(E$1=Winner!$D50,'Ohana Matches'!$U50*0.4,
 IF(E$1=Winner!$E50,'Ohana Matches'!$U50*0.25,
 IF(E$1=Winner!$F50,'Ohana Matches'!$U50*0.15,
 IF(E$1=Winner!$G50,'Ohana Matches'!$U50*0.12,
 IF(E$1=Winner!$H50,'Ohana Matches'!$U50*0.08,0)))))</f>
        <v>0</v>
      </c>
      <c r="F50" s="30">
        <f>IF(F$1=Winner!$D50,'Ohana Matches'!$U50*0.4,
 IF(F$1=Winner!$E50,'Ohana Matches'!$U50*0.25,
 IF(F$1=Winner!$F50,'Ohana Matches'!$U50*0.15,
 IF(F$1=Winner!$G50,'Ohana Matches'!$U50*0.12,
 IF(F$1=Winner!$H50,'Ohana Matches'!$U50*0.08,0)))))</f>
        <v>0</v>
      </c>
      <c r="G50" s="30">
        <f>IF(G$1=Winner!$D50,'Ohana Matches'!$U50*0.4,
 IF(G$1=Winner!$E50,'Ohana Matches'!$U50*0.25,
 IF(G$1=Winner!$F50,'Ohana Matches'!$U50*0.15,
 IF(G$1=Winner!$G50,'Ohana Matches'!$U50*0.12,
 IF(G$1=Winner!$H50,'Ohana Matches'!$U50*0.08,0)))))</f>
        <v>0</v>
      </c>
      <c r="H50" s="30">
        <f>IF(H$1=Winner!$D50,'Ohana Matches'!$U50*0.4,
 IF(H$1=Winner!$E50,'Ohana Matches'!$U50*0.25,
 IF(H$1=Winner!$F50,'Ohana Matches'!$U50*0.15,
 IF(H$1=Winner!$G50,'Ohana Matches'!$U50*0.12,
 IF(H$1=Winner!$H50,'Ohana Matches'!$U50*0.08,0)))))</f>
        <v>0</v>
      </c>
      <c r="I50" s="30">
        <f>IF(I$1=Winner!$D50,'Ohana Matches'!$U50*0.4,
 IF(I$1=Winner!$E50,'Ohana Matches'!$U50*0.25,
 IF(I$1=Winner!$F50,'Ohana Matches'!$U50*0.15,
 IF(I$1=Winner!$G50,'Ohana Matches'!$U50*0.12,
 IF(I$1=Winner!$H50,'Ohana Matches'!$U50*0.08,0)))))</f>
        <v>0</v>
      </c>
      <c r="J50" s="30">
        <f>IF(J$1=Winner!$D50,'Ohana Matches'!$U50*0.4,
 IF(J$1=Winner!$E50,'Ohana Matches'!$U50*0.25,
 IF(J$1=Winner!$F50,'Ohana Matches'!$U50*0.15,
 IF(J$1=Winner!$G50,'Ohana Matches'!$U50*0.12,
 IF(J$1=Winner!$H50,'Ohana Matches'!$U50*0.08,0)))))</f>
        <v>0</v>
      </c>
      <c r="K50" s="30">
        <f>IF(K$1=Winner!$D50,'Ohana Matches'!$U50*0.4,
 IF(K$1=Winner!$E50,'Ohana Matches'!$U50*0.25,
 IF(K$1=Winner!$F50,'Ohana Matches'!$U50*0.15,
 IF(K$1=Winner!$G50,'Ohana Matches'!$U50*0.12,
 IF(K$1=Winner!$H50,'Ohana Matches'!$U50*0.08,0)))))</f>
        <v>0</v>
      </c>
      <c r="L50" s="30">
        <f>IF(L$1=Winner!$D50,'Ohana Matches'!$U50*0.4,
 IF(L$1=Winner!$E50,'Ohana Matches'!$U50*0.25,
 IF(L$1=Winner!$F50,'Ohana Matches'!$U50*0.15,
 IF(L$1=Winner!$G50,'Ohana Matches'!$U50*0.12,
 IF(L$1=Winner!$H50,'Ohana Matches'!$U50*0.08,0)))))</f>
        <v>0</v>
      </c>
      <c r="M50" s="30">
        <f>IF(M$1=Winner!$D50,'Ohana Matches'!$U50*0.4,
 IF(M$1=Winner!$E50,'Ohana Matches'!$U50*0.25,
 IF(M$1=Winner!$F50,'Ohana Matches'!$U50*0.15,
 IF(M$1=Winner!$G50,'Ohana Matches'!$U50*0.12,
 IF(M$1=Winner!$H50,'Ohana Matches'!$U50*0.08,0)))))</f>
        <v>0</v>
      </c>
      <c r="N50" s="30">
        <f>IF(N$1=Winner!$D50,'Ohana Matches'!$U50*0.4,
 IF(N$1=Winner!$E50,'Ohana Matches'!$U50*0.25,
 IF(N$1=Winner!$F50,'Ohana Matches'!$U50*0.15,
 IF(N$1=Winner!$G50,'Ohana Matches'!$U50*0.12,
 IF(N$1=Winner!$H50,'Ohana Matches'!$U50*0.08,0)))))</f>
        <v>0</v>
      </c>
      <c r="O50" s="30">
        <f>IF(O$1=Winner!$D50,'Ohana Matches'!$U50*0.4,
 IF(O$1=Winner!$E50,'Ohana Matches'!$U50*0.25,
 IF(O$1=Winner!$F50,'Ohana Matches'!$U50*0.15,
 IF(O$1=Winner!$G50,'Ohana Matches'!$U50*0.12,
 IF(O$1=Winner!$H50,'Ohana Matches'!$U50*0.08,0)))))</f>
        <v>0</v>
      </c>
      <c r="P50" s="30">
        <f>IF(P$1=Winner!$D50,'Ohana Matches'!$U50*0.4,
 IF(P$1=Winner!$E50,'Ohana Matches'!$U50*0.25,
 IF(P$1=Winner!$F50,'Ohana Matches'!$U50*0.15,
 IF(P$1=Winner!$G50,'Ohana Matches'!$U50*0.12,
 IF(P$1=Winner!$H50,'Ohana Matches'!$U50*0.08,0)))))</f>
        <v>0</v>
      </c>
      <c r="Q50" s="30">
        <f>IF(Q$1=Winner!$D50,'Ohana Matches'!$U50*0.4,
 IF(Q$1=Winner!$E50,'Ohana Matches'!$U50*0.25,
 IF(Q$1=Winner!$F50,'Ohana Matches'!$U50*0.15,
 IF(Q$1=Winner!$G50,'Ohana Matches'!$U50*0.12,
 IF(Q$1=Winner!$H50,'Ohana Matches'!$U50*0.08,0)))))</f>
        <v>0</v>
      </c>
      <c r="R50" s="26">
        <f t="shared" si="0"/>
        <v>0</v>
      </c>
    </row>
    <row r="51" spans="1:18">
      <c r="A51" s="27">
        <v>50</v>
      </c>
      <c r="B51" s="28">
        <v>46149</v>
      </c>
      <c r="C51" s="29" t="s">
        <v>163</v>
      </c>
      <c r="D51" s="30">
        <f>IF(D$1=Winner!$D51,'Ohana Matches'!$U51*0.4,
 IF(D$1=Winner!$E51,'Ohana Matches'!$U51*0.25,
 IF(D$1=Winner!$F51,'Ohana Matches'!$U51*0.15,
 IF(D$1=Winner!$G51,'Ohana Matches'!$U51*0.12,
 IF(D$1=Winner!$H51,'Ohana Matches'!$U51*0.08,0)))))</f>
        <v>0</v>
      </c>
      <c r="E51" s="30">
        <f>IF(E$1=Winner!$D51,'Ohana Matches'!$U51*0.4,
 IF(E$1=Winner!$E51,'Ohana Matches'!$U51*0.25,
 IF(E$1=Winner!$F51,'Ohana Matches'!$U51*0.15,
 IF(E$1=Winner!$G51,'Ohana Matches'!$U51*0.12,
 IF(E$1=Winner!$H51,'Ohana Matches'!$U51*0.08,0)))))</f>
        <v>0</v>
      </c>
      <c r="F51" s="30">
        <f>IF(F$1=Winner!$D51,'Ohana Matches'!$U51*0.4,
 IF(F$1=Winner!$E51,'Ohana Matches'!$U51*0.25,
 IF(F$1=Winner!$F51,'Ohana Matches'!$U51*0.15,
 IF(F$1=Winner!$G51,'Ohana Matches'!$U51*0.12,
 IF(F$1=Winner!$H51,'Ohana Matches'!$U51*0.08,0)))))</f>
        <v>0</v>
      </c>
      <c r="G51" s="30">
        <f>IF(G$1=Winner!$D51,'Ohana Matches'!$U51*0.4,
 IF(G$1=Winner!$E51,'Ohana Matches'!$U51*0.25,
 IF(G$1=Winner!$F51,'Ohana Matches'!$U51*0.15,
 IF(G$1=Winner!$G51,'Ohana Matches'!$U51*0.12,
 IF(G$1=Winner!$H51,'Ohana Matches'!$U51*0.08,0)))))</f>
        <v>0</v>
      </c>
      <c r="H51" s="30">
        <f>IF(H$1=Winner!$D51,'Ohana Matches'!$U51*0.4,
 IF(H$1=Winner!$E51,'Ohana Matches'!$U51*0.25,
 IF(H$1=Winner!$F51,'Ohana Matches'!$U51*0.15,
 IF(H$1=Winner!$G51,'Ohana Matches'!$U51*0.12,
 IF(H$1=Winner!$H51,'Ohana Matches'!$U51*0.08,0)))))</f>
        <v>0</v>
      </c>
      <c r="I51" s="30">
        <f>IF(I$1=Winner!$D51,'Ohana Matches'!$U51*0.4,
 IF(I$1=Winner!$E51,'Ohana Matches'!$U51*0.25,
 IF(I$1=Winner!$F51,'Ohana Matches'!$U51*0.15,
 IF(I$1=Winner!$G51,'Ohana Matches'!$U51*0.12,
 IF(I$1=Winner!$H51,'Ohana Matches'!$U51*0.08,0)))))</f>
        <v>0</v>
      </c>
      <c r="J51" s="30">
        <f>IF(J$1=Winner!$D51,'Ohana Matches'!$U51*0.4,
 IF(J$1=Winner!$E51,'Ohana Matches'!$U51*0.25,
 IF(J$1=Winner!$F51,'Ohana Matches'!$U51*0.15,
 IF(J$1=Winner!$G51,'Ohana Matches'!$U51*0.12,
 IF(J$1=Winner!$H51,'Ohana Matches'!$U51*0.08,0)))))</f>
        <v>0</v>
      </c>
      <c r="K51" s="30">
        <f>IF(K$1=Winner!$D51,'Ohana Matches'!$U51*0.4,
 IF(K$1=Winner!$E51,'Ohana Matches'!$U51*0.25,
 IF(K$1=Winner!$F51,'Ohana Matches'!$U51*0.15,
 IF(K$1=Winner!$G51,'Ohana Matches'!$U51*0.12,
 IF(K$1=Winner!$H51,'Ohana Matches'!$U51*0.08,0)))))</f>
        <v>0</v>
      </c>
      <c r="L51" s="30">
        <f>IF(L$1=Winner!$D51,'Ohana Matches'!$U51*0.4,
 IF(L$1=Winner!$E51,'Ohana Matches'!$U51*0.25,
 IF(L$1=Winner!$F51,'Ohana Matches'!$U51*0.15,
 IF(L$1=Winner!$G51,'Ohana Matches'!$U51*0.12,
 IF(L$1=Winner!$H51,'Ohana Matches'!$U51*0.08,0)))))</f>
        <v>0</v>
      </c>
      <c r="M51" s="30">
        <f>IF(M$1=Winner!$D51,'Ohana Matches'!$U51*0.4,
 IF(M$1=Winner!$E51,'Ohana Matches'!$U51*0.25,
 IF(M$1=Winner!$F51,'Ohana Matches'!$U51*0.15,
 IF(M$1=Winner!$G51,'Ohana Matches'!$U51*0.12,
 IF(M$1=Winner!$H51,'Ohana Matches'!$U51*0.08,0)))))</f>
        <v>0</v>
      </c>
      <c r="N51" s="30">
        <f>IF(N$1=Winner!$D51,'Ohana Matches'!$U51*0.4,
 IF(N$1=Winner!$E51,'Ohana Matches'!$U51*0.25,
 IF(N$1=Winner!$F51,'Ohana Matches'!$U51*0.15,
 IF(N$1=Winner!$G51,'Ohana Matches'!$U51*0.12,
 IF(N$1=Winner!$H51,'Ohana Matches'!$U51*0.08,0)))))</f>
        <v>0</v>
      </c>
      <c r="O51" s="30">
        <f>IF(O$1=Winner!$D51,'Ohana Matches'!$U51*0.4,
 IF(O$1=Winner!$E51,'Ohana Matches'!$U51*0.25,
 IF(O$1=Winner!$F51,'Ohana Matches'!$U51*0.15,
 IF(O$1=Winner!$G51,'Ohana Matches'!$U51*0.12,
 IF(O$1=Winner!$H51,'Ohana Matches'!$U51*0.08,0)))))</f>
        <v>0</v>
      </c>
      <c r="P51" s="30">
        <f>IF(P$1=Winner!$D51,'Ohana Matches'!$U51*0.4,
 IF(P$1=Winner!$E51,'Ohana Matches'!$U51*0.25,
 IF(P$1=Winner!$F51,'Ohana Matches'!$U51*0.15,
 IF(P$1=Winner!$G51,'Ohana Matches'!$U51*0.12,
 IF(P$1=Winner!$H51,'Ohana Matches'!$U51*0.08,0)))))</f>
        <v>0</v>
      </c>
      <c r="Q51" s="30">
        <f>IF(Q$1=Winner!$D51,'Ohana Matches'!$U51*0.4,
 IF(Q$1=Winner!$E51,'Ohana Matches'!$U51*0.25,
 IF(Q$1=Winner!$F51,'Ohana Matches'!$U51*0.15,
 IF(Q$1=Winner!$G51,'Ohana Matches'!$U51*0.12,
 IF(Q$1=Winner!$H51,'Ohana Matches'!$U51*0.08,0)))))</f>
        <v>0</v>
      </c>
      <c r="R51" s="26">
        <f t="shared" si="0"/>
        <v>0</v>
      </c>
    </row>
    <row r="52" spans="1:18">
      <c r="A52" s="27">
        <v>51</v>
      </c>
      <c r="B52" s="28">
        <v>46150</v>
      </c>
      <c r="C52" s="29" t="s">
        <v>164</v>
      </c>
      <c r="D52" s="30">
        <f>IF(D$1=Winner!$D52,'Ohana Matches'!$U52*0.4,
 IF(D$1=Winner!$E52,'Ohana Matches'!$U52*0.25,
 IF(D$1=Winner!$F52,'Ohana Matches'!$U52*0.15,
 IF(D$1=Winner!$G52,'Ohana Matches'!$U52*0.12,
 IF(D$1=Winner!$H52,'Ohana Matches'!$U52*0.08,0)))))</f>
        <v>0</v>
      </c>
      <c r="E52" s="30">
        <f>IF(E$1=Winner!$D52,'Ohana Matches'!$U52*0.4,
 IF(E$1=Winner!$E52,'Ohana Matches'!$U52*0.25,
 IF(E$1=Winner!$F52,'Ohana Matches'!$U52*0.15,
 IF(E$1=Winner!$G52,'Ohana Matches'!$U52*0.12,
 IF(E$1=Winner!$H52,'Ohana Matches'!$U52*0.08,0)))))</f>
        <v>0</v>
      </c>
      <c r="F52" s="30">
        <f>IF(F$1=Winner!$D52,'Ohana Matches'!$U52*0.4,
 IF(F$1=Winner!$E52,'Ohana Matches'!$U52*0.25,
 IF(F$1=Winner!$F52,'Ohana Matches'!$U52*0.15,
 IF(F$1=Winner!$G52,'Ohana Matches'!$U52*0.12,
 IF(F$1=Winner!$H52,'Ohana Matches'!$U52*0.08,0)))))</f>
        <v>0</v>
      </c>
      <c r="G52" s="30">
        <f>IF(G$1=Winner!$D52,'Ohana Matches'!$U52*0.4,
 IF(G$1=Winner!$E52,'Ohana Matches'!$U52*0.25,
 IF(G$1=Winner!$F52,'Ohana Matches'!$U52*0.15,
 IF(G$1=Winner!$G52,'Ohana Matches'!$U52*0.12,
 IF(G$1=Winner!$H52,'Ohana Matches'!$U52*0.08,0)))))</f>
        <v>0</v>
      </c>
      <c r="H52" s="30">
        <f>IF(H$1=Winner!$D52,'Ohana Matches'!$U52*0.4,
 IF(H$1=Winner!$E52,'Ohana Matches'!$U52*0.25,
 IF(H$1=Winner!$F52,'Ohana Matches'!$U52*0.15,
 IF(H$1=Winner!$G52,'Ohana Matches'!$U52*0.12,
 IF(H$1=Winner!$H52,'Ohana Matches'!$U52*0.08,0)))))</f>
        <v>0</v>
      </c>
      <c r="I52" s="30">
        <f>IF(I$1=Winner!$D52,'Ohana Matches'!$U52*0.4,
 IF(I$1=Winner!$E52,'Ohana Matches'!$U52*0.25,
 IF(I$1=Winner!$F52,'Ohana Matches'!$U52*0.15,
 IF(I$1=Winner!$G52,'Ohana Matches'!$U52*0.12,
 IF(I$1=Winner!$H52,'Ohana Matches'!$U52*0.08,0)))))</f>
        <v>0</v>
      </c>
      <c r="J52" s="30">
        <f>IF(J$1=Winner!$D52,'Ohana Matches'!$U52*0.4,
 IF(J$1=Winner!$E52,'Ohana Matches'!$U52*0.25,
 IF(J$1=Winner!$F52,'Ohana Matches'!$U52*0.15,
 IF(J$1=Winner!$G52,'Ohana Matches'!$U52*0.12,
 IF(J$1=Winner!$H52,'Ohana Matches'!$U52*0.08,0)))))</f>
        <v>0</v>
      </c>
      <c r="K52" s="30">
        <f>IF(K$1=Winner!$D52,'Ohana Matches'!$U52*0.4,
 IF(K$1=Winner!$E52,'Ohana Matches'!$U52*0.25,
 IF(K$1=Winner!$F52,'Ohana Matches'!$U52*0.15,
 IF(K$1=Winner!$G52,'Ohana Matches'!$U52*0.12,
 IF(K$1=Winner!$H52,'Ohana Matches'!$U52*0.08,0)))))</f>
        <v>0</v>
      </c>
      <c r="L52" s="30">
        <f>IF(L$1=Winner!$D52,'Ohana Matches'!$U52*0.4,
 IF(L$1=Winner!$E52,'Ohana Matches'!$U52*0.25,
 IF(L$1=Winner!$F52,'Ohana Matches'!$U52*0.15,
 IF(L$1=Winner!$G52,'Ohana Matches'!$U52*0.12,
 IF(L$1=Winner!$H52,'Ohana Matches'!$U52*0.08,0)))))</f>
        <v>0</v>
      </c>
      <c r="M52" s="30">
        <f>IF(M$1=Winner!$D52,'Ohana Matches'!$U52*0.4,
 IF(M$1=Winner!$E52,'Ohana Matches'!$U52*0.25,
 IF(M$1=Winner!$F52,'Ohana Matches'!$U52*0.15,
 IF(M$1=Winner!$G52,'Ohana Matches'!$U52*0.12,
 IF(M$1=Winner!$H52,'Ohana Matches'!$U52*0.08,0)))))</f>
        <v>0</v>
      </c>
      <c r="N52" s="30">
        <f>IF(N$1=Winner!$D52,'Ohana Matches'!$U52*0.4,
 IF(N$1=Winner!$E52,'Ohana Matches'!$U52*0.25,
 IF(N$1=Winner!$F52,'Ohana Matches'!$U52*0.15,
 IF(N$1=Winner!$G52,'Ohana Matches'!$U52*0.12,
 IF(N$1=Winner!$H52,'Ohana Matches'!$U52*0.08,0)))))</f>
        <v>0</v>
      </c>
      <c r="O52" s="30">
        <f>IF(O$1=Winner!$D52,'Ohana Matches'!$U52*0.4,
 IF(O$1=Winner!$E52,'Ohana Matches'!$U52*0.25,
 IF(O$1=Winner!$F52,'Ohana Matches'!$U52*0.15,
 IF(O$1=Winner!$G52,'Ohana Matches'!$U52*0.12,
 IF(O$1=Winner!$H52,'Ohana Matches'!$U52*0.08,0)))))</f>
        <v>0</v>
      </c>
      <c r="P52" s="30">
        <f>IF(P$1=Winner!$D52,'Ohana Matches'!$U52*0.4,
 IF(P$1=Winner!$E52,'Ohana Matches'!$U52*0.25,
 IF(P$1=Winner!$F52,'Ohana Matches'!$U52*0.15,
 IF(P$1=Winner!$G52,'Ohana Matches'!$U52*0.12,
 IF(P$1=Winner!$H52,'Ohana Matches'!$U52*0.08,0)))))</f>
        <v>0</v>
      </c>
      <c r="Q52" s="30">
        <f>IF(Q$1=Winner!$D52,'Ohana Matches'!$U52*0.4,
 IF(Q$1=Winner!$E52,'Ohana Matches'!$U52*0.25,
 IF(Q$1=Winner!$F52,'Ohana Matches'!$U52*0.15,
 IF(Q$1=Winner!$G52,'Ohana Matches'!$U52*0.12,
 IF(Q$1=Winner!$H52,'Ohana Matches'!$U52*0.08,0)))))</f>
        <v>0</v>
      </c>
      <c r="R52" s="26">
        <f t="shared" si="0"/>
        <v>0</v>
      </c>
    </row>
    <row r="53" spans="1:18">
      <c r="A53" s="27">
        <v>52</v>
      </c>
      <c r="B53" s="28">
        <v>46151</v>
      </c>
      <c r="C53" s="29" t="s">
        <v>124</v>
      </c>
      <c r="D53" s="30">
        <f>IF(D$1=Winner!$D53,'Ohana Matches'!$U53*0.4,
 IF(D$1=Winner!$E53,'Ohana Matches'!$U53*0.25,
 IF(D$1=Winner!$F53,'Ohana Matches'!$U53*0.15,
 IF(D$1=Winner!$G53,'Ohana Matches'!$U53*0.12,
 IF(D$1=Winner!$H53,'Ohana Matches'!$U53*0.08,0)))))</f>
        <v>0</v>
      </c>
      <c r="E53" s="30">
        <f>IF(E$1=Winner!$D53,'Ohana Matches'!$U53*0.4,
 IF(E$1=Winner!$E53,'Ohana Matches'!$U53*0.25,
 IF(E$1=Winner!$F53,'Ohana Matches'!$U53*0.15,
 IF(E$1=Winner!$G53,'Ohana Matches'!$U53*0.12,
 IF(E$1=Winner!$H53,'Ohana Matches'!$U53*0.08,0)))))</f>
        <v>0</v>
      </c>
      <c r="F53" s="30">
        <f>IF(F$1=Winner!$D53,'Ohana Matches'!$U53*0.4,
 IF(F$1=Winner!$E53,'Ohana Matches'!$U53*0.25,
 IF(F$1=Winner!$F53,'Ohana Matches'!$U53*0.15,
 IF(F$1=Winner!$G53,'Ohana Matches'!$U53*0.12,
 IF(F$1=Winner!$H53,'Ohana Matches'!$U53*0.08,0)))))</f>
        <v>0</v>
      </c>
      <c r="G53" s="30">
        <f>IF(G$1=Winner!$D53,'Ohana Matches'!$U53*0.4,
 IF(G$1=Winner!$E53,'Ohana Matches'!$U53*0.25,
 IF(G$1=Winner!$F53,'Ohana Matches'!$U53*0.15,
 IF(G$1=Winner!$G53,'Ohana Matches'!$U53*0.12,
 IF(G$1=Winner!$H53,'Ohana Matches'!$U53*0.08,0)))))</f>
        <v>0</v>
      </c>
      <c r="H53" s="30">
        <f>IF(H$1=Winner!$D53,'Ohana Matches'!$U53*0.4,
 IF(H$1=Winner!$E53,'Ohana Matches'!$U53*0.25,
 IF(H$1=Winner!$F53,'Ohana Matches'!$U53*0.15,
 IF(H$1=Winner!$G53,'Ohana Matches'!$U53*0.12,
 IF(H$1=Winner!$H53,'Ohana Matches'!$U53*0.08,0)))))</f>
        <v>0</v>
      </c>
      <c r="I53" s="30">
        <f>IF(I$1=Winner!$D53,'Ohana Matches'!$U53*0.4,
 IF(I$1=Winner!$E53,'Ohana Matches'!$U53*0.25,
 IF(I$1=Winner!$F53,'Ohana Matches'!$U53*0.15,
 IF(I$1=Winner!$G53,'Ohana Matches'!$U53*0.12,
 IF(I$1=Winner!$H53,'Ohana Matches'!$U53*0.08,0)))))</f>
        <v>0</v>
      </c>
      <c r="J53" s="30">
        <f>IF(J$1=Winner!$D53,'Ohana Matches'!$U53*0.4,
 IF(J$1=Winner!$E53,'Ohana Matches'!$U53*0.25,
 IF(J$1=Winner!$F53,'Ohana Matches'!$U53*0.15,
 IF(J$1=Winner!$G53,'Ohana Matches'!$U53*0.12,
 IF(J$1=Winner!$H53,'Ohana Matches'!$U53*0.08,0)))))</f>
        <v>0</v>
      </c>
      <c r="K53" s="30">
        <f>IF(K$1=Winner!$D53,'Ohana Matches'!$U53*0.4,
 IF(K$1=Winner!$E53,'Ohana Matches'!$U53*0.25,
 IF(K$1=Winner!$F53,'Ohana Matches'!$U53*0.15,
 IF(K$1=Winner!$G53,'Ohana Matches'!$U53*0.12,
 IF(K$1=Winner!$H53,'Ohana Matches'!$U53*0.08,0)))))</f>
        <v>0</v>
      </c>
      <c r="L53" s="30">
        <f>IF(L$1=Winner!$D53,'Ohana Matches'!$U53*0.4,
 IF(L$1=Winner!$E53,'Ohana Matches'!$U53*0.25,
 IF(L$1=Winner!$F53,'Ohana Matches'!$U53*0.15,
 IF(L$1=Winner!$G53,'Ohana Matches'!$U53*0.12,
 IF(L$1=Winner!$H53,'Ohana Matches'!$U53*0.08,0)))))</f>
        <v>0</v>
      </c>
      <c r="M53" s="30">
        <f>IF(M$1=Winner!$D53,'Ohana Matches'!$U53*0.4,
 IF(M$1=Winner!$E53,'Ohana Matches'!$U53*0.25,
 IF(M$1=Winner!$F53,'Ohana Matches'!$U53*0.15,
 IF(M$1=Winner!$G53,'Ohana Matches'!$U53*0.12,
 IF(M$1=Winner!$H53,'Ohana Matches'!$U53*0.08,0)))))</f>
        <v>0</v>
      </c>
      <c r="N53" s="30">
        <f>IF(N$1=Winner!$D53,'Ohana Matches'!$U53*0.4,
 IF(N$1=Winner!$E53,'Ohana Matches'!$U53*0.25,
 IF(N$1=Winner!$F53,'Ohana Matches'!$U53*0.15,
 IF(N$1=Winner!$G53,'Ohana Matches'!$U53*0.12,
 IF(N$1=Winner!$H53,'Ohana Matches'!$U53*0.08,0)))))</f>
        <v>0</v>
      </c>
      <c r="O53" s="30">
        <f>IF(O$1=Winner!$D53,'Ohana Matches'!$U53*0.4,
 IF(O$1=Winner!$E53,'Ohana Matches'!$U53*0.25,
 IF(O$1=Winner!$F53,'Ohana Matches'!$U53*0.15,
 IF(O$1=Winner!$G53,'Ohana Matches'!$U53*0.12,
 IF(O$1=Winner!$H53,'Ohana Matches'!$U53*0.08,0)))))</f>
        <v>0</v>
      </c>
      <c r="P53" s="30">
        <f>IF(P$1=Winner!$D53,'Ohana Matches'!$U53*0.4,
 IF(P$1=Winner!$E53,'Ohana Matches'!$U53*0.25,
 IF(P$1=Winner!$F53,'Ohana Matches'!$U53*0.15,
 IF(P$1=Winner!$G53,'Ohana Matches'!$U53*0.12,
 IF(P$1=Winner!$H53,'Ohana Matches'!$U53*0.08,0)))))</f>
        <v>0</v>
      </c>
      <c r="Q53" s="30">
        <f>IF(Q$1=Winner!$D53,'Ohana Matches'!$U53*0.4,
 IF(Q$1=Winner!$E53,'Ohana Matches'!$U53*0.25,
 IF(Q$1=Winner!$F53,'Ohana Matches'!$U53*0.15,
 IF(Q$1=Winner!$G53,'Ohana Matches'!$U53*0.12,
 IF(Q$1=Winner!$H53,'Ohana Matches'!$U53*0.08,0)))))</f>
        <v>0</v>
      </c>
      <c r="R53" s="26">
        <f t="shared" si="0"/>
        <v>0</v>
      </c>
    </row>
    <row r="54" spans="1:18">
      <c r="A54" s="27">
        <v>53</v>
      </c>
      <c r="B54" s="28">
        <v>46152</v>
      </c>
      <c r="C54" s="29" t="s">
        <v>165</v>
      </c>
      <c r="D54" s="30">
        <f>IF(D$1=Winner!$D54,'Ohana Matches'!$U54*0.4,
 IF(D$1=Winner!$E54,'Ohana Matches'!$U54*0.25,
 IF(D$1=Winner!$F54,'Ohana Matches'!$U54*0.15,
 IF(D$1=Winner!$G54,'Ohana Matches'!$U54*0.12,
 IF(D$1=Winner!$H54,'Ohana Matches'!$U54*0.08,0)))))</f>
        <v>0</v>
      </c>
      <c r="E54" s="30">
        <f>IF(E$1=Winner!$D54,'Ohana Matches'!$U54*0.4,
 IF(E$1=Winner!$E54,'Ohana Matches'!$U54*0.25,
 IF(E$1=Winner!$F54,'Ohana Matches'!$U54*0.15,
 IF(E$1=Winner!$G54,'Ohana Matches'!$U54*0.12,
 IF(E$1=Winner!$H54,'Ohana Matches'!$U54*0.08,0)))))</f>
        <v>0</v>
      </c>
      <c r="F54" s="30">
        <f>IF(F$1=Winner!$D54,'Ohana Matches'!$U54*0.4,
 IF(F$1=Winner!$E54,'Ohana Matches'!$U54*0.25,
 IF(F$1=Winner!$F54,'Ohana Matches'!$U54*0.15,
 IF(F$1=Winner!$G54,'Ohana Matches'!$U54*0.12,
 IF(F$1=Winner!$H54,'Ohana Matches'!$U54*0.08,0)))))</f>
        <v>0</v>
      </c>
      <c r="G54" s="30">
        <f>IF(G$1=Winner!$D54,'Ohana Matches'!$U54*0.4,
 IF(G$1=Winner!$E54,'Ohana Matches'!$U54*0.25,
 IF(G$1=Winner!$F54,'Ohana Matches'!$U54*0.15,
 IF(G$1=Winner!$G54,'Ohana Matches'!$U54*0.12,
 IF(G$1=Winner!$H54,'Ohana Matches'!$U54*0.08,0)))))</f>
        <v>0</v>
      </c>
      <c r="H54" s="30">
        <f>IF(H$1=Winner!$D54,'Ohana Matches'!$U54*0.4,
 IF(H$1=Winner!$E54,'Ohana Matches'!$U54*0.25,
 IF(H$1=Winner!$F54,'Ohana Matches'!$U54*0.15,
 IF(H$1=Winner!$G54,'Ohana Matches'!$U54*0.12,
 IF(H$1=Winner!$H54,'Ohana Matches'!$U54*0.08,0)))))</f>
        <v>0</v>
      </c>
      <c r="I54" s="30">
        <f>IF(I$1=Winner!$D54,'Ohana Matches'!$U54*0.4,
 IF(I$1=Winner!$E54,'Ohana Matches'!$U54*0.25,
 IF(I$1=Winner!$F54,'Ohana Matches'!$U54*0.15,
 IF(I$1=Winner!$G54,'Ohana Matches'!$U54*0.12,
 IF(I$1=Winner!$H54,'Ohana Matches'!$U54*0.08,0)))))</f>
        <v>0</v>
      </c>
      <c r="J54" s="30">
        <f>IF(J$1=Winner!$D54,'Ohana Matches'!$U54*0.4,
 IF(J$1=Winner!$E54,'Ohana Matches'!$U54*0.25,
 IF(J$1=Winner!$F54,'Ohana Matches'!$U54*0.15,
 IF(J$1=Winner!$G54,'Ohana Matches'!$U54*0.12,
 IF(J$1=Winner!$H54,'Ohana Matches'!$U54*0.08,0)))))</f>
        <v>0</v>
      </c>
      <c r="K54" s="30">
        <f>IF(K$1=Winner!$D54,'Ohana Matches'!$U54*0.4,
 IF(K$1=Winner!$E54,'Ohana Matches'!$U54*0.25,
 IF(K$1=Winner!$F54,'Ohana Matches'!$U54*0.15,
 IF(K$1=Winner!$G54,'Ohana Matches'!$U54*0.12,
 IF(K$1=Winner!$H54,'Ohana Matches'!$U54*0.08,0)))))</f>
        <v>0</v>
      </c>
      <c r="L54" s="30">
        <f>IF(L$1=Winner!$D54,'Ohana Matches'!$U54*0.4,
 IF(L$1=Winner!$E54,'Ohana Matches'!$U54*0.25,
 IF(L$1=Winner!$F54,'Ohana Matches'!$U54*0.15,
 IF(L$1=Winner!$G54,'Ohana Matches'!$U54*0.12,
 IF(L$1=Winner!$H54,'Ohana Matches'!$U54*0.08,0)))))</f>
        <v>0</v>
      </c>
      <c r="M54" s="30">
        <f>IF(M$1=Winner!$D54,'Ohana Matches'!$U54*0.4,
 IF(M$1=Winner!$E54,'Ohana Matches'!$U54*0.25,
 IF(M$1=Winner!$F54,'Ohana Matches'!$U54*0.15,
 IF(M$1=Winner!$G54,'Ohana Matches'!$U54*0.12,
 IF(M$1=Winner!$H54,'Ohana Matches'!$U54*0.08,0)))))</f>
        <v>0</v>
      </c>
      <c r="N54" s="30">
        <f>IF(N$1=Winner!$D54,'Ohana Matches'!$U54*0.4,
 IF(N$1=Winner!$E54,'Ohana Matches'!$U54*0.25,
 IF(N$1=Winner!$F54,'Ohana Matches'!$U54*0.15,
 IF(N$1=Winner!$G54,'Ohana Matches'!$U54*0.12,
 IF(N$1=Winner!$H54,'Ohana Matches'!$U54*0.08,0)))))</f>
        <v>0</v>
      </c>
      <c r="O54" s="30">
        <f>IF(O$1=Winner!$D54,'Ohana Matches'!$U54*0.4,
 IF(O$1=Winner!$E54,'Ohana Matches'!$U54*0.25,
 IF(O$1=Winner!$F54,'Ohana Matches'!$U54*0.15,
 IF(O$1=Winner!$G54,'Ohana Matches'!$U54*0.12,
 IF(O$1=Winner!$H54,'Ohana Matches'!$U54*0.08,0)))))</f>
        <v>0</v>
      </c>
      <c r="P54" s="30">
        <f>IF(P$1=Winner!$D54,'Ohana Matches'!$U54*0.4,
 IF(P$1=Winner!$E54,'Ohana Matches'!$U54*0.25,
 IF(P$1=Winner!$F54,'Ohana Matches'!$U54*0.15,
 IF(P$1=Winner!$G54,'Ohana Matches'!$U54*0.12,
 IF(P$1=Winner!$H54,'Ohana Matches'!$U54*0.08,0)))))</f>
        <v>0</v>
      </c>
      <c r="Q54" s="30">
        <f>IF(Q$1=Winner!$D54,'Ohana Matches'!$U54*0.4,
 IF(Q$1=Winner!$E54,'Ohana Matches'!$U54*0.25,
 IF(Q$1=Winner!$F54,'Ohana Matches'!$U54*0.15,
 IF(Q$1=Winner!$G54,'Ohana Matches'!$U54*0.12,
 IF(Q$1=Winner!$H54,'Ohana Matches'!$U54*0.08,0)))))</f>
        <v>0</v>
      </c>
      <c r="R54" s="26">
        <f t="shared" si="0"/>
        <v>0</v>
      </c>
    </row>
    <row r="55" spans="1:18">
      <c r="A55" s="27">
        <v>54</v>
      </c>
      <c r="B55" s="28">
        <v>46152</v>
      </c>
      <c r="C55" s="29" t="s">
        <v>166</v>
      </c>
      <c r="D55" s="30">
        <f>IF(D$1=Winner!$D55,'Ohana Matches'!$U55*0.4,
 IF(D$1=Winner!$E55,'Ohana Matches'!$U55*0.25,
 IF(D$1=Winner!$F55,'Ohana Matches'!$U55*0.15,
 IF(D$1=Winner!$G55,'Ohana Matches'!$U55*0.12,
 IF(D$1=Winner!$H55,'Ohana Matches'!$U55*0.08,0)))))</f>
        <v>0</v>
      </c>
      <c r="E55" s="30">
        <f>IF(E$1=Winner!$D55,'Ohana Matches'!$U55*0.4,
 IF(E$1=Winner!$E55,'Ohana Matches'!$U55*0.25,
 IF(E$1=Winner!$F55,'Ohana Matches'!$U55*0.15,
 IF(E$1=Winner!$G55,'Ohana Matches'!$U55*0.12,
 IF(E$1=Winner!$H55,'Ohana Matches'!$U55*0.08,0)))))</f>
        <v>0</v>
      </c>
      <c r="F55" s="30">
        <f>IF(F$1=Winner!$D55,'Ohana Matches'!$U55*0.4,
 IF(F$1=Winner!$E55,'Ohana Matches'!$U55*0.25,
 IF(F$1=Winner!$F55,'Ohana Matches'!$U55*0.15,
 IF(F$1=Winner!$G55,'Ohana Matches'!$U55*0.12,
 IF(F$1=Winner!$H55,'Ohana Matches'!$U55*0.08,0)))))</f>
        <v>0</v>
      </c>
      <c r="G55" s="30">
        <f>IF(G$1=Winner!$D55,'Ohana Matches'!$U55*0.4,
 IF(G$1=Winner!$E55,'Ohana Matches'!$U55*0.25,
 IF(G$1=Winner!$F55,'Ohana Matches'!$U55*0.15,
 IF(G$1=Winner!$G55,'Ohana Matches'!$U55*0.12,
 IF(G$1=Winner!$H55,'Ohana Matches'!$U55*0.08,0)))))</f>
        <v>0</v>
      </c>
      <c r="H55" s="30">
        <f>IF(H$1=Winner!$D55,'Ohana Matches'!$U55*0.4,
 IF(H$1=Winner!$E55,'Ohana Matches'!$U55*0.25,
 IF(H$1=Winner!$F55,'Ohana Matches'!$U55*0.15,
 IF(H$1=Winner!$G55,'Ohana Matches'!$U55*0.12,
 IF(H$1=Winner!$H55,'Ohana Matches'!$U55*0.08,0)))))</f>
        <v>0</v>
      </c>
      <c r="I55" s="30">
        <f>IF(I$1=Winner!$D55,'Ohana Matches'!$U55*0.4,
 IF(I$1=Winner!$E55,'Ohana Matches'!$U55*0.25,
 IF(I$1=Winner!$F55,'Ohana Matches'!$U55*0.15,
 IF(I$1=Winner!$G55,'Ohana Matches'!$U55*0.12,
 IF(I$1=Winner!$H55,'Ohana Matches'!$U55*0.08,0)))))</f>
        <v>0</v>
      </c>
      <c r="J55" s="30">
        <f>IF(J$1=Winner!$D55,'Ohana Matches'!$U55*0.4,
 IF(J$1=Winner!$E55,'Ohana Matches'!$U55*0.25,
 IF(J$1=Winner!$F55,'Ohana Matches'!$U55*0.15,
 IF(J$1=Winner!$G55,'Ohana Matches'!$U55*0.12,
 IF(J$1=Winner!$H55,'Ohana Matches'!$U55*0.08,0)))))</f>
        <v>0</v>
      </c>
      <c r="K55" s="30">
        <f>IF(K$1=Winner!$D55,'Ohana Matches'!$U55*0.4,
 IF(K$1=Winner!$E55,'Ohana Matches'!$U55*0.25,
 IF(K$1=Winner!$F55,'Ohana Matches'!$U55*0.15,
 IF(K$1=Winner!$G55,'Ohana Matches'!$U55*0.12,
 IF(K$1=Winner!$H55,'Ohana Matches'!$U55*0.08,0)))))</f>
        <v>0</v>
      </c>
      <c r="L55" s="30">
        <f>IF(L$1=Winner!$D55,'Ohana Matches'!$U55*0.4,
 IF(L$1=Winner!$E55,'Ohana Matches'!$U55*0.25,
 IF(L$1=Winner!$F55,'Ohana Matches'!$U55*0.15,
 IF(L$1=Winner!$G55,'Ohana Matches'!$U55*0.12,
 IF(L$1=Winner!$H55,'Ohana Matches'!$U55*0.08,0)))))</f>
        <v>0</v>
      </c>
      <c r="M55" s="30">
        <f>IF(M$1=Winner!$D55,'Ohana Matches'!$U55*0.4,
 IF(M$1=Winner!$E55,'Ohana Matches'!$U55*0.25,
 IF(M$1=Winner!$F55,'Ohana Matches'!$U55*0.15,
 IF(M$1=Winner!$G55,'Ohana Matches'!$U55*0.12,
 IF(M$1=Winner!$H55,'Ohana Matches'!$U55*0.08,0)))))</f>
        <v>0</v>
      </c>
      <c r="N55" s="30">
        <f>IF(N$1=Winner!$D55,'Ohana Matches'!$U55*0.4,
 IF(N$1=Winner!$E55,'Ohana Matches'!$U55*0.25,
 IF(N$1=Winner!$F55,'Ohana Matches'!$U55*0.15,
 IF(N$1=Winner!$G55,'Ohana Matches'!$U55*0.12,
 IF(N$1=Winner!$H55,'Ohana Matches'!$U55*0.08,0)))))</f>
        <v>0</v>
      </c>
      <c r="O55" s="30">
        <f>IF(O$1=Winner!$D55,'Ohana Matches'!$U55*0.4,
 IF(O$1=Winner!$E55,'Ohana Matches'!$U55*0.25,
 IF(O$1=Winner!$F55,'Ohana Matches'!$U55*0.15,
 IF(O$1=Winner!$G55,'Ohana Matches'!$U55*0.12,
 IF(O$1=Winner!$H55,'Ohana Matches'!$U55*0.08,0)))))</f>
        <v>0</v>
      </c>
      <c r="P55" s="30">
        <f>IF(P$1=Winner!$D55,'Ohana Matches'!$U55*0.4,
 IF(P$1=Winner!$E55,'Ohana Matches'!$U55*0.25,
 IF(P$1=Winner!$F55,'Ohana Matches'!$U55*0.15,
 IF(P$1=Winner!$G55,'Ohana Matches'!$U55*0.12,
 IF(P$1=Winner!$H55,'Ohana Matches'!$U55*0.08,0)))))</f>
        <v>0</v>
      </c>
      <c r="Q55" s="30">
        <f>IF(Q$1=Winner!$D55,'Ohana Matches'!$U55*0.4,
 IF(Q$1=Winner!$E55,'Ohana Matches'!$U55*0.25,
 IF(Q$1=Winner!$F55,'Ohana Matches'!$U55*0.15,
 IF(Q$1=Winner!$G55,'Ohana Matches'!$U55*0.12,
 IF(Q$1=Winner!$H55,'Ohana Matches'!$U55*0.08,0)))))</f>
        <v>0</v>
      </c>
      <c r="R55" s="26">
        <f t="shared" si="0"/>
        <v>0</v>
      </c>
    </row>
    <row r="56" spans="1:18">
      <c r="A56" s="27">
        <v>55</v>
      </c>
      <c r="B56" s="28">
        <v>46153</v>
      </c>
      <c r="C56" s="29" t="s">
        <v>167</v>
      </c>
      <c r="D56" s="30">
        <f>IF(D$1=Winner!$D56,'Ohana Matches'!$U56*0.4,
 IF(D$1=Winner!$E56,'Ohana Matches'!$U56*0.25,
 IF(D$1=Winner!$F56,'Ohana Matches'!$U56*0.15,
 IF(D$1=Winner!$G56,'Ohana Matches'!$U56*0.12,
 IF(D$1=Winner!$H56,'Ohana Matches'!$U56*0.08,0)))))</f>
        <v>0</v>
      </c>
      <c r="E56" s="30">
        <f>IF(E$1=Winner!$D56,'Ohana Matches'!$U56*0.4,
 IF(E$1=Winner!$E56,'Ohana Matches'!$U56*0.25,
 IF(E$1=Winner!$F56,'Ohana Matches'!$U56*0.15,
 IF(E$1=Winner!$G56,'Ohana Matches'!$U56*0.12,
 IF(E$1=Winner!$H56,'Ohana Matches'!$U56*0.08,0)))))</f>
        <v>0</v>
      </c>
      <c r="F56" s="30">
        <f>IF(F$1=Winner!$D56,'Ohana Matches'!$U56*0.4,
 IF(F$1=Winner!$E56,'Ohana Matches'!$U56*0.25,
 IF(F$1=Winner!$F56,'Ohana Matches'!$U56*0.15,
 IF(F$1=Winner!$G56,'Ohana Matches'!$U56*0.12,
 IF(F$1=Winner!$H56,'Ohana Matches'!$U56*0.08,0)))))</f>
        <v>0</v>
      </c>
      <c r="G56" s="30">
        <f>IF(G$1=Winner!$D56,'Ohana Matches'!$U56*0.4,
 IF(G$1=Winner!$E56,'Ohana Matches'!$U56*0.25,
 IF(G$1=Winner!$F56,'Ohana Matches'!$U56*0.15,
 IF(G$1=Winner!$G56,'Ohana Matches'!$U56*0.12,
 IF(G$1=Winner!$H56,'Ohana Matches'!$U56*0.08,0)))))</f>
        <v>0</v>
      </c>
      <c r="H56" s="30">
        <f>IF(H$1=Winner!$D56,'Ohana Matches'!$U56*0.4,
 IF(H$1=Winner!$E56,'Ohana Matches'!$U56*0.25,
 IF(H$1=Winner!$F56,'Ohana Matches'!$U56*0.15,
 IF(H$1=Winner!$G56,'Ohana Matches'!$U56*0.12,
 IF(H$1=Winner!$H56,'Ohana Matches'!$U56*0.08,0)))))</f>
        <v>0</v>
      </c>
      <c r="I56" s="30">
        <f>IF(I$1=Winner!$D56,'Ohana Matches'!$U56*0.4,
 IF(I$1=Winner!$E56,'Ohana Matches'!$U56*0.25,
 IF(I$1=Winner!$F56,'Ohana Matches'!$U56*0.15,
 IF(I$1=Winner!$G56,'Ohana Matches'!$U56*0.12,
 IF(I$1=Winner!$H56,'Ohana Matches'!$U56*0.08,0)))))</f>
        <v>0</v>
      </c>
      <c r="J56" s="30">
        <f>IF(J$1=Winner!$D56,'Ohana Matches'!$U56*0.4,
 IF(J$1=Winner!$E56,'Ohana Matches'!$U56*0.25,
 IF(J$1=Winner!$F56,'Ohana Matches'!$U56*0.15,
 IF(J$1=Winner!$G56,'Ohana Matches'!$U56*0.12,
 IF(J$1=Winner!$H56,'Ohana Matches'!$U56*0.08,0)))))</f>
        <v>0</v>
      </c>
      <c r="K56" s="30">
        <f>IF(K$1=Winner!$D56,'Ohana Matches'!$U56*0.4,
 IF(K$1=Winner!$E56,'Ohana Matches'!$U56*0.25,
 IF(K$1=Winner!$F56,'Ohana Matches'!$U56*0.15,
 IF(K$1=Winner!$G56,'Ohana Matches'!$U56*0.12,
 IF(K$1=Winner!$H56,'Ohana Matches'!$U56*0.08,0)))))</f>
        <v>0</v>
      </c>
      <c r="L56" s="30">
        <f>IF(L$1=Winner!$D56,'Ohana Matches'!$U56*0.4,
 IF(L$1=Winner!$E56,'Ohana Matches'!$U56*0.25,
 IF(L$1=Winner!$F56,'Ohana Matches'!$U56*0.15,
 IF(L$1=Winner!$G56,'Ohana Matches'!$U56*0.12,
 IF(L$1=Winner!$H56,'Ohana Matches'!$U56*0.08,0)))))</f>
        <v>0</v>
      </c>
      <c r="M56" s="30">
        <f>IF(M$1=Winner!$D56,'Ohana Matches'!$U56*0.4,
 IF(M$1=Winner!$E56,'Ohana Matches'!$U56*0.25,
 IF(M$1=Winner!$F56,'Ohana Matches'!$U56*0.15,
 IF(M$1=Winner!$G56,'Ohana Matches'!$U56*0.12,
 IF(M$1=Winner!$H56,'Ohana Matches'!$U56*0.08,0)))))</f>
        <v>0</v>
      </c>
      <c r="N56" s="30">
        <f>IF(N$1=Winner!$D56,'Ohana Matches'!$U56*0.4,
 IF(N$1=Winner!$E56,'Ohana Matches'!$U56*0.25,
 IF(N$1=Winner!$F56,'Ohana Matches'!$U56*0.15,
 IF(N$1=Winner!$G56,'Ohana Matches'!$U56*0.12,
 IF(N$1=Winner!$H56,'Ohana Matches'!$U56*0.08,0)))))</f>
        <v>0</v>
      </c>
      <c r="O56" s="30">
        <f>IF(O$1=Winner!$D56,'Ohana Matches'!$U56*0.4,
 IF(O$1=Winner!$E56,'Ohana Matches'!$U56*0.25,
 IF(O$1=Winner!$F56,'Ohana Matches'!$U56*0.15,
 IF(O$1=Winner!$G56,'Ohana Matches'!$U56*0.12,
 IF(O$1=Winner!$H56,'Ohana Matches'!$U56*0.08,0)))))</f>
        <v>0</v>
      </c>
      <c r="P56" s="30">
        <f>IF(P$1=Winner!$D56,'Ohana Matches'!$U56*0.4,
 IF(P$1=Winner!$E56,'Ohana Matches'!$U56*0.25,
 IF(P$1=Winner!$F56,'Ohana Matches'!$U56*0.15,
 IF(P$1=Winner!$G56,'Ohana Matches'!$U56*0.12,
 IF(P$1=Winner!$H56,'Ohana Matches'!$U56*0.08,0)))))</f>
        <v>0</v>
      </c>
      <c r="Q56" s="30">
        <f>IF(Q$1=Winner!$D56,'Ohana Matches'!$U56*0.4,
 IF(Q$1=Winner!$E56,'Ohana Matches'!$U56*0.25,
 IF(Q$1=Winner!$F56,'Ohana Matches'!$U56*0.15,
 IF(Q$1=Winner!$G56,'Ohana Matches'!$U56*0.12,
 IF(Q$1=Winner!$H56,'Ohana Matches'!$U56*0.08,0)))))</f>
        <v>0</v>
      </c>
      <c r="R56" s="26">
        <f t="shared" si="0"/>
        <v>0</v>
      </c>
    </row>
    <row r="57" spans="1:18">
      <c r="A57" s="27">
        <v>56</v>
      </c>
      <c r="B57" s="28">
        <v>46154</v>
      </c>
      <c r="C57" s="29" t="s">
        <v>168</v>
      </c>
      <c r="D57" s="30">
        <f>IF(D$1=Winner!$D57,'Ohana Matches'!$U57*0.4,
 IF(D$1=Winner!$E57,'Ohana Matches'!$U57*0.25,
 IF(D$1=Winner!$F57,'Ohana Matches'!$U57*0.15,
 IF(D$1=Winner!$G57,'Ohana Matches'!$U57*0.12,
 IF(D$1=Winner!$H57,'Ohana Matches'!$U57*0.08,0)))))</f>
        <v>0</v>
      </c>
      <c r="E57" s="30">
        <f>IF(E$1=Winner!$D57,'Ohana Matches'!$U57*0.4,
 IF(E$1=Winner!$E57,'Ohana Matches'!$U57*0.25,
 IF(E$1=Winner!$F57,'Ohana Matches'!$U57*0.15,
 IF(E$1=Winner!$G57,'Ohana Matches'!$U57*0.12,
 IF(E$1=Winner!$H57,'Ohana Matches'!$U57*0.08,0)))))</f>
        <v>0</v>
      </c>
      <c r="F57" s="30">
        <f>IF(F$1=Winner!$D57,'Ohana Matches'!$U57*0.4,
 IF(F$1=Winner!$E57,'Ohana Matches'!$U57*0.25,
 IF(F$1=Winner!$F57,'Ohana Matches'!$U57*0.15,
 IF(F$1=Winner!$G57,'Ohana Matches'!$U57*0.12,
 IF(F$1=Winner!$H57,'Ohana Matches'!$U57*0.08,0)))))</f>
        <v>0</v>
      </c>
      <c r="G57" s="30">
        <f>IF(G$1=Winner!$D57,'Ohana Matches'!$U57*0.4,
 IF(G$1=Winner!$E57,'Ohana Matches'!$U57*0.25,
 IF(G$1=Winner!$F57,'Ohana Matches'!$U57*0.15,
 IF(G$1=Winner!$G57,'Ohana Matches'!$U57*0.12,
 IF(G$1=Winner!$H57,'Ohana Matches'!$U57*0.08,0)))))</f>
        <v>0</v>
      </c>
      <c r="H57" s="30">
        <f>IF(H$1=Winner!$D57,'Ohana Matches'!$U57*0.4,
 IF(H$1=Winner!$E57,'Ohana Matches'!$U57*0.25,
 IF(H$1=Winner!$F57,'Ohana Matches'!$U57*0.15,
 IF(H$1=Winner!$G57,'Ohana Matches'!$U57*0.12,
 IF(H$1=Winner!$H57,'Ohana Matches'!$U57*0.08,0)))))</f>
        <v>0</v>
      </c>
      <c r="I57" s="30">
        <f>IF(I$1=Winner!$D57,'Ohana Matches'!$U57*0.4,
 IF(I$1=Winner!$E57,'Ohana Matches'!$U57*0.25,
 IF(I$1=Winner!$F57,'Ohana Matches'!$U57*0.15,
 IF(I$1=Winner!$G57,'Ohana Matches'!$U57*0.12,
 IF(I$1=Winner!$H57,'Ohana Matches'!$U57*0.08,0)))))</f>
        <v>0</v>
      </c>
      <c r="J57" s="30">
        <f>IF(J$1=Winner!$D57,'Ohana Matches'!$U57*0.4,
 IF(J$1=Winner!$E57,'Ohana Matches'!$U57*0.25,
 IF(J$1=Winner!$F57,'Ohana Matches'!$U57*0.15,
 IF(J$1=Winner!$G57,'Ohana Matches'!$U57*0.12,
 IF(J$1=Winner!$H57,'Ohana Matches'!$U57*0.08,0)))))</f>
        <v>0</v>
      </c>
      <c r="K57" s="30">
        <f>IF(K$1=Winner!$D57,'Ohana Matches'!$U57*0.4,
 IF(K$1=Winner!$E57,'Ohana Matches'!$U57*0.25,
 IF(K$1=Winner!$F57,'Ohana Matches'!$U57*0.15,
 IF(K$1=Winner!$G57,'Ohana Matches'!$U57*0.12,
 IF(K$1=Winner!$H57,'Ohana Matches'!$U57*0.08,0)))))</f>
        <v>0</v>
      </c>
      <c r="L57" s="30">
        <f>IF(L$1=Winner!$D57,'Ohana Matches'!$U57*0.4,
 IF(L$1=Winner!$E57,'Ohana Matches'!$U57*0.25,
 IF(L$1=Winner!$F57,'Ohana Matches'!$U57*0.15,
 IF(L$1=Winner!$G57,'Ohana Matches'!$U57*0.12,
 IF(L$1=Winner!$H57,'Ohana Matches'!$U57*0.08,0)))))</f>
        <v>0</v>
      </c>
      <c r="M57" s="30">
        <f>IF(M$1=Winner!$D57,'Ohana Matches'!$U57*0.4,
 IF(M$1=Winner!$E57,'Ohana Matches'!$U57*0.25,
 IF(M$1=Winner!$F57,'Ohana Matches'!$U57*0.15,
 IF(M$1=Winner!$G57,'Ohana Matches'!$U57*0.12,
 IF(M$1=Winner!$H57,'Ohana Matches'!$U57*0.08,0)))))</f>
        <v>0</v>
      </c>
      <c r="N57" s="30">
        <f>IF(N$1=Winner!$D57,'Ohana Matches'!$U57*0.4,
 IF(N$1=Winner!$E57,'Ohana Matches'!$U57*0.25,
 IF(N$1=Winner!$F57,'Ohana Matches'!$U57*0.15,
 IF(N$1=Winner!$G57,'Ohana Matches'!$U57*0.12,
 IF(N$1=Winner!$H57,'Ohana Matches'!$U57*0.08,0)))))</f>
        <v>0</v>
      </c>
      <c r="O57" s="30">
        <f>IF(O$1=Winner!$D57,'Ohana Matches'!$U57*0.4,
 IF(O$1=Winner!$E57,'Ohana Matches'!$U57*0.25,
 IF(O$1=Winner!$F57,'Ohana Matches'!$U57*0.15,
 IF(O$1=Winner!$G57,'Ohana Matches'!$U57*0.12,
 IF(O$1=Winner!$H57,'Ohana Matches'!$U57*0.08,0)))))</f>
        <v>0</v>
      </c>
      <c r="P57" s="30">
        <f>IF(P$1=Winner!$D57,'Ohana Matches'!$U57*0.4,
 IF(P$1=Winner!$E57,'Ohana Matches'!$U57*0.25,
 IF(P$1=Winner!$F57,'Ohana Matches'!$U57*0.15,
 IF(P$1=Winner!$G57,'Ohana Matches'!$U57*0.12,
 IF(P$1=Winner!$H57,'Ohana Matches'!$U57*0.08,0)))))</f>
        <v>0</v>
      </c>
      <c r="Q57" s="30">
        <f>IF(Q$1=Winner!$D57,'Ohana Matches'!$U57*0.4,
 IF(Q$1=Winner!$E57,'Ohana Matches'!$U57*0.25,
 IF(Q$1=Winner!$F57,'Ohana Matches'!$U57*0.15,
 IF(Q$1=Winner!$G57,'Ohana Matches'!$U57*0.12,
 IF(Q$1=Winner!$H57,'Ohana Matches'!$U57*0.08,0)))))</f>
        <v>0</v>
      </c>
      <c r="R57" s="26">
        <f t="shared" si="0"/>
        <v>0</v>
      </c>
    </row>
    <row r="58" spans="1:18">
      <c r="A58" s="27">
        <v>57</v>
      </c>
      <c r="B58" s="28">
        <v>46155</v>
      </c>
      <c r="C58" s="29" t="s">
        <v>169</v>
      </c>
      <c r="D58" s="30">
        <f>IF(D$1=Winner!$D58,'Ohana Matches'!$U58*0.4,
 IF(D$1=Winner!$E58,'Ohana Matches'!$U58*0.25,
 IF(D$1=Winner!$F58,'Ohana Matches'!$U58*0.15,
 IF(D$1=Winner!$G58,'Ohana Matches'!$U58*0.12,
 IF(D$1=Winner!$H58,'Ohana Matches'!$U58*0.08,0)))))</f>
        <v>0</v>
      </c>
      <c r="E58" s="30">
        <f>IF(E$1=Winner!$D58,'Ohana Matches'!$U58*0.4,
 IF(E$1=Winner!$E58,'Ohana Matches'!$U58*0.25,
 IF(E$1=Winner!$F58,'Ohana Matches'!$U58*0.15,
 IF(E$1=Winner!$G58,'Ohana Matches'!$U58*0.12,
 IF(E$1=Winner!$H58,'Ohana Matches'!$U58*0.08,0)))))</f>
        <v>0</v>
      </c>
      <c r="F58" s="30">
        <f>IF(F$1=Winner!$D58,'Ohana Matches'!$U58*0.4,
 IF(F$1=Winner!$E58,'Ohana Matches'!$U58*0.25,
 IF(F$1=Winner!$F58,'Ohana Matches'!$U58*0.15,
 IF(F$1=Winner!$G58,'Ohana Matches'!$U58*0.12,
 IF(F$1=Winner!$H58,'Ohana Matches'!$U58*0.08,0)))))</f>
        <v>0</v>
      </c>
      <c r="G58" s="30">
        <f>IF(G$1=Winner!$D58,'Ohana Matches'!$U58*0.4,
 IF(G$1=Winner!$E58,'Ohana Matches'!$U58*0.25,
 IF(G$1=Winner!$F58,'Ohana Matches'!$U58*0.15,
 IF(G$1=Winner!$G58,'Ohana Matches'!$U58*0.12,
 IF(G$1=Winner!$H58,'Ohana Matches'!$U58*0.08,0)))))</f>
        <v>0</v>
      </c>
      <c r="H58" s="30">
        <f>IF(H$1=Winner!$D58,'Ohana Matches'!$U58*0.4,
 IF(H$1=Winner!$E58,'Ohana Matches'!$U58*0.25,
 IF(H$1=Winner!$F58,'Ohana Matches'!$U58*0.15,
 IF(H$1=Winner!$G58,'Ohana Matches'!$U58*0.12,
 IF(H$1=Winner!$H58,'Ohana Matches'!$U58*0.08,0)))))</f>
        <v>0</v>
      </c>
      <c r="I58" s="30">
        <f>IF(I$1=Winner!$D58,'Ohana Matches'!$U58*0.4,
 IF(I$1=Winner!$E58,'Ohana Matches'!$U58*0.25,
 IF(I$1=Winner!$F58,'Ohana Matches'!$U58*0.15,
 IF(I$1=Winner!$G58,'Ohana Matches'!$U58*0.12,
 IF(I$1=Winner!$H58,'Ohana Matches'!$U58*0.08,0)))))</f>
        <v>0</v>
      </c>
      <c r="J58" s="30">
        <f>IF(J$1=Winner!$D58,'Ohana Matches'!$U58*0.4,
 IF(J$1=Winner!$E58,'Ohana Matches'!$U58*0.25,
 IF(J$1=Winner!$F58,'Ohana Matches'!$U58*0.15,
 IF(J$1=Winner!$G58,'Ohana Matches'!$U58*0.12,
 IF(J$1=Winner!$H58,'Ohana Matches'!$U58*0.08,0)))))</f>
        <v>0</v>
      </c>
      <c r="K58" s="30">
        <f>IF(K$1=Winner!$D58,'Ohana Matches'!$U58*0.4,
 IF(K$1=Winner!$E58,'Ohana Matches'!$U58*0.25,
 IF(K$1=Winner!$F58,'Ohana Matches'!$U58*0.15,
 IF(K$1=Winner!$G58,'Ohana Matches'!$U58*0.12,
 IF(K$1=Winner!$H58,'Ohana Matches'!$U58*0.08,0)))))</f>
        <v>0</v>
      </c>
      <c r="L58" s="30">
        <f>IF(L$1=Winner!$D58,'Ohana Matches'!$U58*0.4,
 IF(L$1=Winner!$E58,'Ohana Matches'!$U58*0.25,
 IF(L$1=Winner!$F58,'Ohana Matches'!$U58*0.15,
 IF(L$1=Winner!$G58,'Ohana Matches'!$U58*0.12,
 IF(L$1=Winner!$H58,'Ohana Matches'!$U58*0.08,0)))))</f>
        <v>0</v>
      </c>
      <c r="M58" s="30">
        <f>IF(M$1=Winner!$D58,'Ohana Matches'!$U58*0.4,
 IF(M$1=Winner!$E58,'Ohana Matches'!$U58*0.25,
 IF(M$1=Winner!$F58,'Ohana Matches'!$U58*0.15,
 IF(M$1=Winner!$G58,'Ohana Matches'!$U58*0.12,
 IF(M$1=Winner!$H58,'Ohana Matches'!$U58*0.08,0)))))</f>
        <v>0</v>
      </c>
      <c r="N58" s="30">
        <f>IF(N$1=Winner!$D58,'Ohana Matches'!$U58*0.4,
 IF(N$1=Winner!$E58,'Ohana Matches'!$U58*0.25,
 IF(N$1=Winner!$F58,'Ohana Matches'!$U58*0.15,
 IF(N$1=Winner!$G58,'Ohana Matches'!$U58*0.12,
 IF(N$1=Winner!$H58,'Ohana Matches'!$U58*0.08,0)))))</f>
        <v>0</v>
      </c>
      <c r="O58" s="30">
        <f>IF(O$1=Winner!$D58,'Ohana Matches'!$U58*0.4,
 IF(O$1=Winner!$E58,'Ohana Matches'!$U58*0.25,
 IF(O$1=Winner!$F58,'Ohana Matches'!$U58*0.15,
 IF(O$1=Winner!$G58,'Ohana Matches'!$U58*0.12,
 IF(O$1=Winner!$H58,'Ohana Matches'!$U58*0.08,0)))))</f>
        <v>0</v>
      </c>
      <c r="P58" s="30">
        <f>IF(P$1=Winner!$D58,'Ohana Matches'!$U58*0.4,
 IF(P$1=Winner!$E58,'Ohana Matches'!$U58*0.25,
 IF(P$1=Winner!$F58,'Ohana Matches'!$U58*0.15,
 IF(P$1=Winner!$G58,'Ohana Matches'!$U58*0.12,
 IF(P$1=Winner!$H58,'Ohana Matches'!$U58*0.08,0)))))</f>
        <v>0</v>
      </c>
      <c r="Q58" s="30">
        <f>IF(Q$1=Winner!$D58,'Ohana Matches'!$U58*0.4,
 IF(Q$1=Winner!$E58,'Ohana Matches'!$U58*0.25,
 IF(Q$1=Winner!$F58,'Ohana Matches'!$U58*0.15,
 IF(Q$1=Winner!$G58,'Ohana Matches'!$U58*0.12,
 IF(Q$1=Winner!$H58,'Ohana Matches'!$U58*0.08,0)))))</f>
        <v>0</v>
      </c>
      <c r="R58" s="26">
        <f t="shared" si="0"/>
        <v>0</v>
      </c>
    </row>
    <row r="59" spans="1:18">
      <c r="A59" s="27">
        <v>58</v>
      </c>
      <c r="B59" s="28">
        <v>46156</v>
      </c>
      <c r="C59" s="29" t="s">
        <v>170</v>
      </c>
      <c r="D59" s="30">
        <f>IF(D$1=Winner!$D59,'Ohana Matches'!$U59*0.4,
 IF(D$1=Winner!$E59,'Ohana Matches'!$U59*0.25,
 IF(D$1=Winner!$F59,'Ohana Matches'!$U59*0.15,
 IF(D$1=Winner!$G59,'Ohana Matches'!$U59*0.12,
 IF(D$1=Winner!$H59,'Ohana Matches'!$U59*0.08,0)))))</f>
        <v>0</v>
      </c>
      <c r="E59" s="30">
        <f>IF(E$1=Winner!$D59,'Ohana Matches'!$U59*0.4,
 IF(E$1=Winner!$E59,'Ohana Matches'!$U59*0.25,
 IF(E$1=Winner!$F59,'Ohana Matches'!$U59*0.15,
 IF(E$1=Winner!$G59,'Ohana Matches'!$U59*0.12,
 IF(E$1=Winner!$H59,'Ohana Matches'!$U59*0.08,0)))))</f>
        <v>0</v>
      </c>
      <c r="F59" s="30">
        <f>IF(F$1=Winner!$D59,'Ohana Matches'!$U59*0.4,
 IF(F$1=Winner!$E59,'Ohana Matches'!$U59*0.25,
 IF(F$1=Winner!$F59,'Ohana Matches'!$U59*0.15,
 IF(F$1=Winner!$G59,'Ohana Matches'!$U59*0.12,
 IF(F$1=Winner!$H59,'Ohana Matches'!$U59*0.08,0)))))</f>
        <v>0</v>
      </c>
      <c r="G59" s="30">
        <f>IF(G$1=Winner!$D59,'Ohana Matches'!$U59*0.4,
 IF(G$1=Winner!$E59,'Ohana Matches'!$U59*0.25,
 IF(G$1=Winner!$F59,'Ohana Matches'!$U59*0.15,
 IF(G$1=Winner!$G59,'Ohana Matches'!$U59*0.12,
 IF(G$1=Winner!$H59,'Ohana Matches'!$U59*0.08,0)))))</f>
        <v>0</v>
      </c>
      <c r="H59" s="30">
        <f>IF(H$1=Winner!$D59,'Ohana Matches'!$U59*0.4,
 IF(H$1=Winner!$E59,'Ohana Matches'!$U59*0.25,
 IF(H$1=Winner!$F59,'Ohana Matches'!$U59*0.15,
 IF(H$1=Winner!$G59,'Ohana Matches'!$U59*0.12,
 IF(H$1=Winner!$H59,'Ohana Matches'!$U59*0.08,0)))))</f>
        <v>0</v>
      </c>
      <c r="I59" s="30">
        <f>IF(I$1=Winner!$D59,'Ohana Matches'!$U59*0.4,
 IF(I$1=Winner!$E59,'Ohana Matches'!$U59*0.25,
 IF(I$1=Winner!$F59,'Ohana Matches'!$U59*0.15,
 IF(I$1=Winner!$G59,'Ohana Matches'!$U59*0.12,
 IF(I$1=Winner!$H59,'Ohana Matches'!$U59*0.08,0)))))</f>
        <v>0</v>
      </c>
      <c r="J59" s="30">
        <f>IF(J$1=Winner!$D59,'Ohana Matches'!$U59*0.4,
 IF(J$1=Winner!$E59,'Ohana Matches'!$U59*0.25,
 IF(J$1=Winner!$F59,'Ohana Matches'!$U59*0.15,
 IF(J$1=Winner!$G59,'Ohana Matches'!$U59*0.12,
 IF(J$1=Winner!$H59,'Ohana Matches'!$U59*0.08,0)))))</f>
        <v>0</v>
      </c>
      <c r="K59" s="30">
        <f>IF(K$1=Winner!$D59,'Ohana Matches'!$U59*0.4,
 IF(K$1=Winner!$E59,'Ohana Matches'!$U59*0.25,
 IF(K$1=Winner!$F59,'Ohana Matches'!$U59*0.15,
 IF(K$1=Winner!$G59,'Ohana Matches'!$U59*0.12,
 IF(K$1=Winner!$H59,'Ohana Matches'!$U59*0.08,0)))))</f>
        <v>0</v>
      </c>
      <c r="L59" s="30">
        <f>IF(L$1=Winner!$D59,'Ohana Matches'!$U59*0.4,
 IF(L$1=Winner!$E59,'Ohana Matches'!$U59*0.25,
 IF(L$1=Winner!$F59,'Ohana Matches'!$U59*0.15,
 IF(L$1=Winner!$G59,'Ohana Matches'!$U59*0.12,
 IF(L$1=Winner!$H59,'Ohana Matches'!$U59*0.08,0)))))</f>
        <v>0</v>
      </c>
      <c r="M59" s="30">
        <f>IF(M$1=Winner!$D59,'Ohana Matches'!$U59*0.4,
 IF(M$1=Winner!$E59,'Ohana Matches'!$U59*0.25,
 IF(M$1=Winner!$F59,'Ohana Matches'!$U59*0.15,
 IF(M$1=Winner!$G59,'Ohana Matches'!$U59*0.12,
 IF(M$1=Winner!$H59,'Ohana Matches'!$U59*0.08,0)))))</f>
        <v>0</v>
      </c>
      <c r="N59" s="30">
        <f>IF(N$1=Winner!$D59,'Ohana Matches'!$U59*0.4,
 IF(N$1=Winner!$E59,'Ohana Matches'!$U59*0.25,
 IF(N$1=Winner!$F59,'Ohana Matches'!$U59*0.15,
 IF(N$1=Winner!$G59,'Ohana Matches'!$U59*0.12,
 IF(N$1=Winner!$H59,'Ohana Matches'!$U59*0.08,0)))))</f>
        <v>0</v>
      </c>
      <c r="O59" s="30">
        <f>IF(O$1=Winner!$D59,'Ohana Matches'!$U59*0.4,
 IF(O$1=Winner!$E59,'Ohana Matches'!$U59*0.25,
 IF(O$1=Winner!$F59,'Ohana Matches'!$U59*0.15,
 IF(O$1=Winner!$G59,'Ohana Matches'!$U59*0.12,
 IF(O$1=Winner!$H59,'Ohana Matches'!$U59*0.08,0)))))</f>
        <v>0</v>
      </c>
      <c r="P59" s="30">
        <f>IF(P$1=Winner!$D59,'Ohana Matches'!$U59*0.4,
 IF(P$1=Winner!$E59,'Ohana Matches'!$U59*0.25,
 IF(P$1=Winner!$F59,'Ohana Matches'!$U59*0.15,
 IF(P$1=Winner!$G59,'Ohana Matches'!$U59*0.12,
 IF(P$1=Winner!$H59,'Ohana Matches'!$U59*0.08,0)))))</f>
        <v>0</v>
      </c>
      <c r="Q59" s="30">
        <f>IF(Q$1=Winner!$D59,'Ohana Matches'!$U59*0.4,
 IF(Q$1=Winner!$E59,'Ohana Matches'!$U59*0.25,
 IF(Q$1=Winner!$F59,'Ohana Matches'!$U59*0.15,
 IF(Q$1=Winner!$G59,'Ohana Matches'!$U59*0.12,
 IF(Q$1=Winner!$H59,'Ohana Matches'!$U59*0.08,0)))))</f>
        <v>0</v>
      </c>
      <c r="R59" s="26">
        <f t="shared" si="0"/>
        <v>0</v>
      </c>
    </row>
    <row r="60" spans="1:18">
      <c r="A60" s="27">
        <v>59</v>
      </c>
      <c r="B60" s="28">
        <v>46157</v>
      </c>
      <c r="C60" s="29" t="s">
        <v>171</v>
      </c>
      <c r="D60" s="30">
        <f>IF(D$1=Winner!$D60,'Ohana Matches'!$U60*0.4,
 IF(D$1=Winner!$E60,'Ohana Matches'!$U60*0.25,
 IF(D$1=Winner!$F60,'Ohana Matches'!$U60*0.15,
 IF(D$1=Winner!$G60,'Ohana Matches'!$U60*0.12,
 IF(D$1=Winner!$H60,'Ohana Matches'!$U60*0.08,0)))))</f>
        <v>0</v>
      </c>
      <c r="E60" s="30">
        <f>IF(E$1=Winner!$D60,'Ohana Matches'!$U60*0.4,
 IF(E$1=Winner!$E60,'Ohana Matches'!$U60*0.25,
 IF(E$1=Winner!$F60,'Ohana Matches'!$U60*0.15,
 IF(E$1=Winner!$G60,'Ohana Matches'!$U60*0.12,
 IF(E$1=Winner!$H60,'Ohana Matches'!$U60*0.08,0)))))</f>
        <v>0</v>
      </c>
      <c r="F60" s="30">
        <f>IF(F$1=Winner!$D60,'Ohana Matches'!$U60*0.4,
 IF(F$1=Winner!$E60,'Ohana Matches'!$U60*0.25,
 IF(F$1=Winner!$F60,'Ohana Matches'!$U60*0.15,
 IF(F$1=Winner!$G60,'Ohana Matches'!$U60*0.12,
 IF(F$1=Winner!$H60,'Ohana Matches'!$U60*0.08,0)))))</f>
        <v>0</v>
      </c>
      <c r="G60" s="30">
        <f>IF(G$1=Winner!$D60,'Ohana Matches'!$U60*0.4,
 IF(G$1=Winner!$E60,'Ohana Matches'!$U60*0.25,
 IF(G$1=Winner!$F60,'Ohana Matches'!$U60*0.15,
 IF(G$1=Winner!$G60,'Ohana Matches'!$U60*0.12,
 IF(G$1=Winner!$H60,'Ohana Matches'!$U60*0.08,0)))))</f>
        <v>0</v>
      </c>
      <c r="H60" s="30">
        <f>IF(H$1=Winner!$D60,'Ohana Matches'!$U60*0.4,
 IF(H$1=Winner!$E60,'Ohana Matches'!$U60*0.25,
 IF(H$1=Winner!$F60,'Ohana Matches'!$U60*0.15,
 IF(H$1=Winner!$G60,'Ohana Matches'!$U60*0.12,
 IF(H$1=Winner!$H60,'Ohana Matches'!$U60*0.08,0)))))</f>
        <v>0</v>
      </c>
      <c r="I60" s="30">
        <f>IF(I$1=Winner!$D60,'Ohana Matches'!$U60*0.4,
 IF(I$1=Winner!$E60,'Ohana Matches'!$U60*0.25,
 IF(I$1=Winner!$F60,'Ohana Matches'!$U60*0.15,
 IF(I$1=Winner!$G60,'Ohana Matches'!$U60*0.12,
 IF(I$1=Winner!$H60,'Ohana Matches'!$U60*0.08,0)))))</f>
        <v>0</v>
      </c>
      <c r="J60" s="30">
        <f>IF(J$1=Winner!$D60,'Ohana Matches'!$U60*0.4,
 IF(J$1=Winner!$E60,'Ohana Matches'!$U60*0.25,
 IF(J$1=Winner!$F60,'Ohana Matches'!$U60*0.15,
 IF(J$1=Winner!$G60,'Ohana Matches'!$U60*0.12,
 IF(J$1=Winner!$H60,'Ohana Matches'!$U60*0.08,0)))))</f>
        <v>0</v>
      </c>
      <c r="K60" s="30">
        <f>IF(K$1=Winner!$D60,'Ohana Matches'!$U60*0.4,
 IF(K$1=Winner!$E60,'Ohana Matches'!$U60*0.25,
 IF(K$1=Winner!$F60,'Ohana Matches'!$U60*0.15,
 IF(K$1=Winner!$G60,'Ohana Matches'!$U60*0.12,
 IF(K$1=Winner!$H60,'Ohana Matches'!$U60*0.08,0)))))</f>
        <v>0</v>
      </c>
      <c r="L60" s="30">
        <f>IF(L$1=Winner!$D60,'Ohana Matches'!$U60*0.4,
 IF(L$1=Winner!$E60,'Ohana Matches'!$U60*0.25,
 IF(L$1=Winner!$F60,'Ohana Matches'!$U60*0.15,
 IF(L$1=Winner!$G60,'Ohana Matches'!$U60*0.12,
 IF(L$1=Winner!$H60,'Ohana Matches'!$U60*0.08,0)))))</f>
        <v>0</v>
      </c>
      <c r="M60" s="30">
        <f>IF(M$1=Winner!$D60,'Ohana Matches'!$U60*0.4,
 IF(M$1=Winner!$E60,'Ohana Matches'!$U60*0.25,
 IF(M$1=Winner!$F60,'Ohana Matches'!$U60*0.15,
 IF(M$1=Winner!$G60,'Ohana Matches'!$U60*0.12,
 IF(M$1=Winner!$H60,'Ohana Matches'!$U60*0.08,0)))))</f>
        <v>0</v>
      </c>
      <c r="N60" s="30">
        <f>IF(N$1=Winner!$D60,'Ohana Matches'!$U60*0.4,
 IF(N$1=Winner!$E60,'Ohana Matches'!$U60*0.25,
 IF(N$1=Winner!$F60,'Ohana Matches'!$U60*0.15,
 IF(N$1=Winner!$G60,'Ohana Matches'!$U60*0.12,
 IF(N$1=Winner!$H60,'Ohana Matches'!$U60*0.08,0)))))</f>
        <v>0</v>
      </c>
      <c r="O60" s="30">
        <f>IF(O$1=Winner!$D60,'Ohana Matches'!$U60*0.4,
 IF(O$1=Winner!$E60,'Ohana Matches'!$U60*0.25,
 IF(O$1=Winner!$F60,'Ohana Matches'!$U60*0.15,
 IF(O$1=Winner!$G60,'Ohana Matches'!$U60*0.12,
 IF(O$1=Winner!$H60,'Ohana Matches'!$U60*0.08,0)))))</f>
        <v>0</v>
      </c>
      <c r="P60" s="30">
        <f>IF(P$1=Winner!$D60,'Ohana Matches'!$U60*0.4,
 IF(P$1=Winner!$E60,'Ohana Matches'!$U60*0.25,
 IF(P$1=Winner!$F60,'Ohana Matches'!$U60*0.15,
 IF(P$1=Winner!$G60,'Ohana Matches'!$U60*0.12,
 IF(P$1=Winner!$H60,'Ohana Matches'!$U60*0.08,0)))))</f>
        <v>0</v>
      </c>
      <c r="Q60" s="30">
        <f>IF(Q$1=Winner!$D60,'Ohana Matches'!$U60*0.4,
 IF(Q$1=Winner!$E60,'Ohana Matches'!$U60*0.25,
 IF(Q$1=Winner!$F60,'Ohana Matches'!$U60*0.15,
 IF(Q$1=Winner!$G60,'Ohana Matches'!$U60*0.12,
 IF(Q$1=Winner!$H60,'Ohana Matches'!$U60*0.08,0)))))</f>
        <v>0</v>
      </c>
      <c r="R60" s="26">
        <f t="shared" si="0"/>
        <v>0</v>
      </c>
    </row>
    <row r="61" spans="1:18">
      <c r="A61" s="27">
        <v>60</v>
      </c>
      <c r="B61" s="28">
        <v>46158</v>
      </c>
      <c r="C61" s="29" t="s">
        <v>172</v>
      </c>
      <c r="D61" s="30">
        <f>IF(D$1=Winner!$D61,'Ohana Matches'!$U61*0.4,
 IF(D$1=Winner!$E61,'Ohana Matches'!$U61*0.25,
 IF(D$1=Winner!$F61,'Ohana Matches'!$U61*0.15,
 IF(D$1=Winner!$G61,'Ohana Matches'!$U61*0.12,
 IF(D$1=Winner!$H61,'Ohana Matches'!$U61*0.08,0)))))</f>
        <v>0</v>
      </c>
      <c r="E61" s="30">
        <f>IF(E$1=Winner!$D61,'Ohana Matches'!$U61*0.4,
 IF(E$1=Winner!$E61,'Ohana Matches'!$U61*0.25,
 IF(E$1=Winner!$F61,'Ohana Matches'!$U61*0.15,
 IF(E$1=Winner!$G61,'Ohana Matches'!$U61*0.12,
 IF(E$1=Winner!$H61,'Ohana Matches'!$U61*0.08,0)))))</f>
        <v>0</v>
      </c>
      <c r="F61" s="30">
        <f>IF(F$1=Winner!$D61,'Ohana Matches'!$U61*0.4,
 IF(F$1=Winner!$E61,'Ohana Matches'!$U61*0.25,
 IF(F$1=Winner!$F61,'Ohana Matches'!$U61*0.15,
 IF(F$1=Winner!$G61,'Ohana Matches'!$U61*0.12,
 IF(F$1=Winner!$H61,'Ohana Matches'!$U61*0.08,0)))))</f>
        <v>0</v>
      </c>
      <c r="G61" s="30">
        <f>IF(G$1=Winner!$D61,'Ohana Matches'!$U61*0.4,
 IF(G$1=Winner!$E61,'Ohana Matches'!$U61*0.25,
 IF(G$1=Winner!$F61,'Ohana Matches'!$U61*0.15,
 IF(G$1=Winner!$G61,'Ohana Matches'!$U61*0.12,
 IF(G$1=Winner!$H61,'Ohana Matches'!$U61*0.08,0)))))</f>
        <v>0</v>
      </c>
      <c r="H61" s="30">
        <f>IF(H$1=Winner!$D61,'Ohana Matches'!$U61*0.4,
 IF(H$1=Winner!$E61,'Ohana Matches'!$U61*0.25,
 IF(H$1=Winner!$F61,'Ohana Matches'!$U61*0.15,
 IF(H$1=Winner!$G61,'Ohana Matches'!$U61*0.12,
 IF(H$1=Winner!$H61,'Ohana Matches'!$U61*0.08,0)))))</f>
        <v>0</v>
      </c>
      <c r="I61" s="30">
        <f>IF(I$1=Winner!$D61,'Ohana Matches'!$U61*0.4,
 IF(I$1=Winner!$E61,'Ohana Matches'!$U61*0.25,
 IF(I$1=Winner!$F61,'Ohana Matches'!$U61*0.15,
 IF(I$1=Winner!$G61,'Ohana Matches'!$U61*0.12,
 IF(I$1=Winner!$H61,'Ohana Matches'!$U61*0.08,0)))))</f>
        <v>0</v>
      </c>
      <c r="J61" s="30">
        <f>IF(J$1=Winner!$D61,'Ohana Matches'!$U61*0.4,
 IF(J$1=Winner!$E61,'Ohana Matches'!$U61*0.25,
 IF(J$1=Winner!$F61,'Ohana Matches'!$U61*0.15,
 IF(J$1=Winner!$G61,'Ohana Matches'!$U61*0.12,
 IF(J$1=Winner!$H61,'Ohana Matches'!$U61*0.08,0)))))</f>
        <v>0</v>
      </c>
      <c r="K61" s="30">
        <f>IF(K$1=Winner!$D61,'Ohana Matches'!$U61*0.4,
 IF(K$1=Winner!$E61,'Ohana Matches'!$U61*0.25,
 IF(K$1=Winner!$F61,'Ohana Matches'!$U61*0.15,
 IF(K$1=Winner!$G61,'Ohana Matches'!$U61*0.12,
 IF(K$1=Winner!$H61,'Ohana Matches'!$U61*0.08,0)))))</f>
        <v>0</v>
      </c>
      <c r="L61" s="30">
        <f>IF(L$1=Winner!$D61,'Ohana Matches'!$U61*0.4,
 IF(L$1=Winner!$E61,'Ohana Matches'!$U61*0.25,
 IF(L$1=Winner!$F61,'Ohana Matches'!$U61*0.15,
 IF(L$1=Winner!$G61,'Ohana Matches'!$U61*0.12,
 IF(L$1=Winner!$H61,'Ohana Matches'!$U61*0.08,0)))))</f>
        <v>0</v>
      </c>
      <c r="M61" s="30">
        <f>IF(M$1=Winner!$D61,'Ohana Matches'!$U61*0.4,
 IF(M$1=Winner!$E61,'Ohana Matches'!$U61*0.25,
 IF(M$1=Winner!$F61,'Ohana Matches'!$U61*0.15,
 IF(M$1=Winner!$G61,'Ohana Matches'!$U61*0.12,
 IF(M$1=Winner!$H61,'Ohana Matches'!$U61*0.08,0)))))</f>
        <v>0</v>
      </c>
      <c r="N61" s="30">
        <f>IF(N$1=Winner!$D61,'Ohana Matches'!$U61*0.4,
 IF(N$1=Winner!$E61,'Ohana Matches'!$U61*0.25,
 IF(N$1=Winner!$F61,'Ohana Matches'!$U61*0.15,
 IF(N$1=Winner!$G61,'Ohana Matches'!$U61*0.12,
 IF(N$1=Winner!$H61,'Ohana Matches'!$U61*0.08,0)))))</f>
        <v>0</v>
      </c>
      <c r="O61" s="30">
        <f>IF(O$1=Winner!$D61,'Ohana Matches'!$U61*0.4,
 IF(O$1=Winner!$E61,'Ohana Matches'!$U61*0.25,
 IF(O$1=Winner!$F61,'Ohana Matches'!$U61*0.15,
 IF(O$1=Winner!$G61,'Ohana Matches'!$U61*0.12,
 IF(O$1=Winner!$H61,'Ohana Matches'!$U61*0.08,0)))))</f>
        <v>0</v>
      </c>
      <c r="P61" s="30">
        <f>IF(P$1=Winner!$D61,'Ohana Matches'!$U61*0.4,
 IF(P$1=Winner!$E61,'Ohana Matches'!$U61*0.25,
 IF(P$1=Winner!$F61,'Ohana Matches'!$U61*0.15,
 IF(P$1=Winner!$G61,'Ohana Matches'!$U61*0.12,
 IF(P$1=Winner!$H61,'Ohana Matches'!$U61*0.08,0)))))</f>
        <v>0</v>
      </c>
      <c r="Q61" s="30">
        <f>IF(Q$1=Winner!$D61,'Ohana Matches'!$U61*0.4,
 IF(Q$1=Winner!$E61,'Ohana Matches'!$U61*0.25,
 IF(Q$1=Winner!$F61,'Ohana Matches'!$U61*0.15,
 IF(Q$1=Winner!$G61,'Ohana Matches'!$U61*0.12,
 IF(Q$1=Winner!$H61,'Ohana Matches'!$U61*0.08,0)))))</f>
        <v>0</v>
      </c>
      <c r="R61" s="26">
        <f t="shared" si="0"/>
        <v>0</v>
      </c>
    </row>
    <row r="62" spans="1:18">
      <c r="A62" s="27">
        <v>61</v>
      </c>
      <c r="B62" s="28">
        <v>46159</v>
      </c>
      <c r="C62" s="29" t="s">
        <v>173</v>
      </c>
      <c r="D62" s="30">
        <f>IF(D$1=Winner!$D62,'Ohana Matches'!$U62*0.4,
 IF(D$1=Winner!$E62,'Ohana Matches'!$U62*0.25,
 IF(D$1=Winner!$F62,'Ohana Matches'!$U62*0.15,
 IF(D$1=Winner!$G62,'Ohana Matches'!$U62*0.12,
 IF(D$1=Winner!$H62,'Ohana Matches'!$U62*0.08,0)))))</f>
        <v>0</v>
      </c>
      <c r="E62" s="30">
        <f>IF(E$1=Winner!$D62,'Ohana Matches'!$U62*0.4,
 IF(E$1=Winner!$E62,'Ohana Matches'!$U62*0.25,
 IF(E$1=Winner!$F62,'Ohana Matches'!$U62*0.15,
 IF(E$1=Winner!$G62,'Ohana Matches'!$U62*0.12,
 IF(E$1=Winner!$H62,'Ohana Matches'!$U62*0.08,0)))))</f>
        <v>0</v>
      </c>
      <c r="F62" s="30">
        <f>IF(F$1=Winner!$D62,'Ohana Matches'!$U62*0.4,
 IF(F$1=Winner!$E62,'Ohana Matches'!$U62*0.25,
 IF(F$1=Winner!$F62,'Ohana Matches'!$U62*0.15,
 IF(F$1=Winner!$G62,'Ohana Matches'!$U62*0.12,
 IF(F$1=Winner!$H62,'Ohana Matches'!$U62*0.08,0)))))</f>
        <v>0</v>
      </c>
      <c r="G62" s="30">
        <f>IF(G$1=Winner!$D62,'Ohana Matches'!$U62*0.4,
 IF(G$1=Winner!$E62,'Ohana Matches'!$U62*0.25,
 IF(G$1=Winner!$F62,'Ohana Matches'!$U62*0.15,
 IF(G$1=Winner!$G62,'Ohana Matches'!$U62*0.12,
 IF(G$1=Winner!$H62,'Ohana Matches'!$U62*0.08,0)))))</f>
        <v>0</v>
      </c>
      <c r="H62" s="30">
        <f>IF(H$1=Winner!$D62,'Ohana Matches'!$U62*0.4,
 IF(H$1=Winner!$E62,'Ohana Matches'!$U62*0.25,
 IF(H$1=Winner!$F62,'Ohana Matches'!$U62*0.15,
 IF(H$1=Winner!$G62,'Ohana Matches'!$U62*0.12,
 IF(H$1=Winner!$H62,'Ohana Matches'!$U62*0.08,0)))))</f>
        <v>0</v>
      </c>
      <c r="I62" s="30">
        <f>IF(I$1=Winner!$D62,'Ohana Matches'!$U62*0.4,
 IF(I$1=Winner!$E62,'Ohana Matches'!$U62*0.25,
 IF(I$1=Winner!$F62,'Ohana Matches'!$U62*0.15,
 IF(I$1=Winner!$G62,'Ohana Matches'!$U62*0.12,
 IF(I$1=Winner!$H62,'Ohana Matches'!$U62*0.08,0)))))</f>
        <v>0</v>
      </c>
      <c r="J62" s="30">
        <f>IF(J$1=Winner!$D62,'Ohana Matches'!$U62*0.4,
 IF(J$1=Winner!$E62,'Ohana Matches'!$U62*0.25,
 IF(J$1=Winner!$F62,'Ohana Matches'!$U62*0.15,
 IF(J$1=Winner!$G62,'Ohana Matches'!$U62*0.12,
 IF(J$1=Winner!$H62,'Ohana Matches'!$U62*0.08,0)))))</f>
        <v>0</v>
      </c>
      <c r="K62" s="30">
        <f>IF(K$1=Winner!$D62,'Ohana Matches'!$U62*0.4,
 IF(K$1=Winner!$E62,'Ohana Matches'!$U62*0.25,
 IF(K$1=Winner!$F62,'Ohana Matches'!$U62*0.15,
 IF(K$1=Winner!$G62,'Ohana Matches'!$U62*0.12,
 IF(K$1=Winner!$H62,'Ohana Matches'!$U62*0.08,0)))))</f>
        <v>0</v>
      </c>
      <c r="L62" s="30">
        <f>IF(L$1=Winner!$D62,'Ohana Matches'!$U62*0.4,
 IF(L$1=Winner!$E62,'Ohana Matches'!$U62*0.25,
 IF(L$1=Winner!$F62,'Ohana Matches'!$U62*0.15,
 IF(L$1=Winner!$G62,'Ohana Matches'!$U62*0.12,
 IF(L$1=Winner!$H62,'Ohana Matches'!$U62*0.08,0)))))</f>
        <v>0</v>
      </c>
      <c r="M62" s="30">
        <f>IF(M$1=Winner!$D62,'Ohana Matches'!$U62*0.4,
 IF(M$1=Winner!$E62,'Ohana Matches'!$U62*0.25,
 IF(M$1=Winner!$F62,'Ohana Matches'!$U62*0.15,
 IF(M$1=Winner!$G62,'Ohana Matches'!$U62*0.12,
 IF(M$1=Winner!$H62,'Ohana Matches'!$U62*0.08,0)))))</f>
        <v>0</v>
      </c>
      <c r="N62" s="30">
        <f>IF(N$1=Winner!$D62,'Ohana Matches'!$U62*0.4,
 IF(N$1=Winner!$E62,'Ohana Matches'!$U62*0.25,
 IF(N$1=Winner!$F62,'Ohana Matches'!$U62*0.15,
 IF(N$1=Winner!$G62,'Ohana Matches'!$U62*0.12,
 IF(N$1=Winner!$H62,'Ohana Matches'!$U62*0.08,0)))))</f>
        <v>0</v>
      </c>
      <c r="O62" s="30">
        <f>IF(O$1=Winner!$D62,'Ohana Matches'!$U62*0.4,
 IF(O$1=Winner!$E62,'Ohana Matches'!$U62*0.25,
 IF(O$1=Winner!$F62,'Ohana Matches'!$U62*0.15,
 IF(O$1=Winner!$G62,'Ohana Matches'!$U62*0.12,
 IF(O$1=Winner!$H62,'Ohana Matches'!$U62*0.08,0)))))</f>
        <v>0</v>
      </c>
      <c r="P62" s="30">
        <f>IF(P$1=Winner!$D62,'Ohana Matches'!$U62*0.4,
 IF(P$1=Winner!$E62,'Ohana Matches'!$U62*0.25,
 IF(P$1=Winner!$F62,'Ohana Matches'!$U62*0.15,
 IF(P$1=Winner!$G62,'Ohana Matches'!$U62*0.12,
 IF(P$1=Winner!$H62,'Ohana Matches'!$U62*0.08,0)))))</f>
        <v>0</v>
      </c>
      <c r="Q62" s="30">
        <f>IF(Q$1=Winner!$D62,'Ohana Matches'!$U62*0.4,
 IF(Q$1=Winner!$E62,'Ohana Matches'!$U62*0.25,
 IF(Q$1=Winner!$F62,'Ohana Matches'!$U62*0.15,
 IF(Q$1=Winner!$G62,'Ohana Matches'!$U62*0.12,
 IF(Q$1=Winner!$H62,'Ohana Matches'!$U62*0.08,0)))))</f>
        <v>0</v>
      </c>
      <c r="R62" s="26">
        <f t="shared" si="0"/>
        <v>0</v>
      </c>
    </row>
    <row r="63" spans="1:18">
      <c r="A63" s="27">
        <v>62</v>
      </c>
      <c r="B63" s="28">
        <v>46159</v>
      </c>
      <c r="C63" s="29" t="s">
        <v>174</v>
      </c>
      <c r="D63" s="30">
        <f>IF(D$1=Winner!$D63,'Ohana Matches'!$U63*0.4,
 IF(D$1=Winner!$E63,'Ohana Matches'!$U63*0.25,
 IF(D$1=Winner!$F63,'Ohana Matches'!$U63*0.15,
 IF(D$1=Winner!$G63,'Ohana Matches'!$U63*0.12,
 IF(D$1=Winner!$H63,'Ohana Matches'!$U63*0.08,0)))))</f>
        <v>0</v>
      </c>
      <c r="E63" s="30">
        <f>IF(E$1=Winner!$D63,'Ohana Matches'!$U63*0.4,
 IF(E$1=Winner!$E63,'Ohana Matches'!$U63*0.25,
 IF(E$1=Winner!$F63,'Ohana Matches'!$U63*0.15,
 IF(E$1=Winner!$G63,'Ohana Matches'!$U63*0.12,
 IF(E$1=Winner!$H63,'Ohana Matches'!$U63*0.08,0)))))</f>
        <v>0</v>
      </c>
      <c r="F63" s="30">
        <f>IF(F$1=Winner!$D63,'Ohana Matches'!$U63*0.4,
 IF(F$1=Winner!$E63,'Ohana Matches'!$U63*0.25,
 IF(F$1=Winner!$F63,'Ohana Matches'!$U63*0.15,
 IF(F$1=Winner!$G63,'Ohana Matches'!$U63*0.12,
 IF(F$1=Winner!$H63,'Ohana Matches'!$U63*0.08,0)))))</f>
        <v>0</v>
      </c>
      <c r="G63" s="30">
        <f>IF(G$1=Winner!$D63,'Ohana Matches'!$U63*0.4,
 IF(G$1=Winner!$E63,'Ohana Matches'!$U63*0.25,
 IF(G$1=Winner!$F63,'Ohana Matches'!$U63*0.15,
 IF(G$1=Winner!$G63,'Ohana Matches'!$U63*0.12,
 IF(G$1=Winner!$H63,'Ohana Matches'!$U63*0.08,0)))))</f>
        <v>0</v>
      </c>
      <c r="H63" s="30">
        <f>IF(H$1=Winner!$D63,'Ohana Matches'!$U63*0.4,
 IF(H$1=Winner!$E63,'Ohana Matches'!$U63*0.25,
 IF(H$1=Winner!$F63,'Ohana Matches'!$U63*0.15,
 IF(H$1=Winner!$G63,'Ohana Matches'!$U63*0.12,
 IF(H$1=Winner!$H63,'Ohana Matches'!$U63*0.08,0)))))</f>
        <v>0</v>
      </c>
      <c r="I63" s="30">
        <f>IF(I$1=Winner!$D63,'Ohana Matches'!$U63*0.4,
 IF(I$1=Winner!$E63,'Ohana Matches'!$U63*0.25,
 IF(I$1=Winner!$F63,'Ohana Matches'!$U63*0.15,
 IF(I$1=Winner!$G63,'Ohana Matches'!$U63*0.12,
 IF(I$1=Winner!$H63,'Ohana Matches'!$U63*0.08,0)))))</f>
        <v>0</v>
      </c>
      <c r="J63" s="30">
        <f>IF(J$1=Winner!$D63,'Ohana Matches'!$U63*0.4,
 IF(J$1=Winner!$E63,'Ohana Matches'!$U63*0.25,
 IF(J$1=Winner!$F63,'Ohana Matches'!$U63*0.15,
 IF(J$1=Winner!$G63,'Ohana Matches'!$U63*0.12,
 IF(J$1=Winner!$H63,'Ohana Matches'!$U63*0.08,0)))))</f>
        <v>0</v>
      </c>
      <c r="K63" s="30">
        <f>IF(K$1=Winner!$D63,'Ohana Matches'!$U63*0.4,
 IF(K$1=Winner!$E63,'Ohana Matches'!$U63*0.25,
 IF(K$1=Winner!$F63,'Ohana Matches'!$U63*0.15,
 IF(K$1=Winner!$G63,'Ohana Matches'!$U63*0.12,
 IF(K$1=Winner!$H63,'Ohana Matches'!$U63*0.08,0)))))</f>
        <v>0</v>
      </c>
      <c r="L63" s="30">
        <f>IF(L$1=Winner!$D63,'Ohana Matches'!$U63*0.4,
 IF(L$1=Winner!$E63,'Ohana Matches'!$U63*0.25,
 IF(L$1=Winner!$F63,'Ohana Matches'!$U63*0.15,
 IF(L$1=Winner!$G63,'Ohana Matches'!$U63*0.12,
 IF(L$1=Winner!$H63,'Ohana Matches'!$U63*0.08,0)))))</f>
        <v>0</v>
      </c>
      <c r="M63" s="30">
        <f>IF(M$1=Winner!$D63,'Ohana Matches'!$U63*0.4,
 IF(M$1=Winner!$E63,'Ohana Matches'!$U63*0.25,
 IF(M$1=Winner!$F63,'Ohana Matches'!$U63*0.15,
 IF(M$1=Winner!$G63,'Ohana Matches'!$U63*0.12,
 IF(M$1=Winner!$H63,'Ohana Matches'!$U63*0.08,0)))))</f>
        <v>0</v>
      </c>
      <c r="N63" s="30">
        <f>IF(N$1=Winner!$D63,'Ohana Matches'!$U63*0.4,
 IF(N$1=Winner!$E63,'Ohana Matches'!$U63*0.25,
 IF(N$1=Winner!$F63,'Ohana Matches'!$U63*0.15,
 IF(N$1=Winner!$G63,'Ohana Matches'!$U63*0.12,
 IF(N$1=Winner!$H63,'Ohana Matches'!$U63*0.08,0)))))</f>
        <v>0</v>
      </c>
      <c r="O63" s="30">
        <f>IF(O$1=Winner!$D63,'Ohana Matches'!$U63*0.4,
 IF(O$1=Winner!$E63,'Ohana Matches'!$U63*0.25,
 IF(O$1=Winner!$F63,'Ohana Matches'!$U63*0.15,
 IF(O$1=Winner!$G63,'Ohana Matches'!$U63*0.12,
 IF(O$1=Winner!$H63,'Ohana Matches'!$U63*0.08,0)))))</f>
        <v>0</v>
      </c>
      <c r="P63" s="30">
        <f>IF(P$1=Winner!$D63,'Ohana Matches'!$U63*0.4,
 IF(P$1=Winner!$E63,'Ohana Matches'!$U63*0.25,
 IF(P$1=Winner!$F63,'Ohana Matches'!$U63*0.15,
 IF(P$1=Winner!$G63,'Ohana Matches'!$U63*0.12,
 IF(P$1=Winner!$H63,'Ohana Matches'!$U63*0.08,0)))))</f>
        <v>0</v>
      </c>
      <c r="Q63" s="30">
        <f>IF(Q$1=Winner!$D63,'Ohana Matches'!$U63*0.4,
 IF(Q$1=Winner!$E63,'Ohana Matches'!$U63*0.25,
 IF(Q$1=Winner!$F63,'Ohana Matches'!$U63*0.15,
 IF(Q$1=Winner!$G63,'Ohana Matches'!$U63*0.12,
 IF(Q$1=Winner!$H63,'Ohana Matches'!$U63*0.08,0)))))</f>
        <v>0</v>
      </c>
      <c r="R63" s="26">
        <f t="shared" si="0"/>
        <v>0</v>
      </c>
    </row>
    <row r="64" spans="1:18">
      <c r="A64" s="27">
        <v>63</v>
      </c>
      <c r="B64" s="28">
        <v>46160</v>
      </c>
      <c r="C64" s="29" t="s">
        <v>175</v>
      </c>
      <c r="D64" s="30">
        <f>IF(D$1=Winner!$D64,'Ohana Matches'!$U64*0.4,
 IF(D$1=Winner!$E64,'Ohana Matches'!$U64*0.25,
 IF(D$1=Winner!$F64,'Ohana Matches'!$U64*0.15,
 IF(D$1=Winner!$G64,'Ohana Matches'!$U64*0.12,
 IF(D$1=Winner!$H64,'Ohana Matches'!$U64*0.08,0)))))</f>
        <v>0</v>
      </c>
      <c r="E64" s="30">
        <f>IF(E$1=Winner!$D64,'Ohana Matches'!$U64*0.4,
 IF(E$1=Winner!$E64,'Ohana Matches'!$U64*0.25,
 IF(E$1=Winner!$F64,'Ohana Matches'!$U64*0.15,
 IF(E$1=Winner!$G64,'Ohana Matches'!$U64*0.12,
 IF(E$1=Winner!$H64,'Ohana Matches'!$U64*0.08,0)))))</f>
        <v>0</v>
      </c>
      <c r="F64" s="30">
        <f>IF(F$1=Winner!$D64,'Ohana Matches'!$U64*0.4,
 IF(F$1=Winner!$E64,'Ohana Matches'!$U64*0.25,
 IF(F$1=Winner!$F64,'Ohana Matches'!$U64*0.15,
 IF(F$1=Winner!$G64,'Ohana Matches'!$U64*0.12,
 IF(F$1=Winner!$H64,'Ohana Matches'!$U64*0.08,0)))))</f>
        <v>0</v>
      </c>
      <c r="G64" s="30">
        <f>IF(G$1=Winner!$D64,'Ohana Matches'!$U64*0.4,
 IF(G$1=Winner!$E64,'Ohana Matches'!$U64*0.25,
 IF(G$1=Winner!$F64,'Ohana Matches'!$U64*0.15,
 IF(G$1=Winner!$G64,'Ohana Matches'!$U64*0.12,
 IF(G$1=Winner!$H64,'Ohana Matches'!$U64*0.08,0)))))</f>
        <v>0</v>
      </c>
      <c r="H64" s="30">
        <f>IF(H$1=Winner!$D64,'Ohana Matches'!$U64*0.4,
 IF(H$1=Winner!$E64,'Ohana Matches'!$U64*0.25,
 IF(H$1=Winner!$F64,'Ohana Matches'!$U64*0.15,
 IF(H$1=Winner!$G64,'Ohana Matches'!$U64*0.12,
 IF(H$1=Winner!$H64,'Ohana Matches'!$U64*0.08,0)))))</f>
        <v>0</v>
      </c>
      <c r="I64" s="30">
        <f>IF(I$1=Winner!$D64,'Ohana Matches'!$U64*0.4,
 IF(I$1=Winner!$E64,'Ohana Matches'!$U64*0.25,
 IF(I$1=Winner!$F64,'Ohana Matches'!$U64*0.15,
 IF(I$1=Winner!$G64,'Ohana Matches'!$U64*0.12,
 IF(I$1=Winner!$H64,'Ohana Matches'!$U64*0.08,0)))))</f>
        <v>0</v>
      </c>
      <c r="J64" s="30">
        <f>IF(J$1=Winner!$D64,'Ohana Matches'!$U64*0.4,
 IF(J$1=Winner!$E64,'Ohana Matches'!$U64*0.25,
 IF(J$1=Winner!$F64,'Ohana Matches'!$U64*0.15,
 IF(J$1=Winner!$G64,'Ohana Matches'!$U64*0.12,
 IF(J$1=Winner!$H64,'Ohana Matches'!$U64*0.08,0)))))</f>
        <v>0</v>
      </c>
      <c r="K64" s="30">
        <f>IF(K$1=Winner!$D64,'Ohana Matches'!$U64*0.4,
 IF(K$1=Winner!$E64,'Ohana Matches'!$U64*0.25,
 IF(K$1=Winner!$F64,'Ohana Matches'!$U64*0.15,
 IF(K$1=Winner!$G64,'Ohana Matches'!$U64*0.12,
 IF(K$1=Winner!$H64,'Ohana Matches'!$U64*0.08,0)))))</f>
        <v>0</v>
      </c>
      <c r="L64" s="30">
        <f>IF(L$1=Winner!$D64,'Ohana Matches'!$U64*0.4,
 IF(L$1=Winner!$E64,'Ohana Matches'!$U64*0.25,
 IF(L$1=Winner!$F64,'Ohana Matches'!$U64*0.15,
 IF(L$1=Winner!$G64,'Ohana Matches'!$U64*0.12,
 IF(L$1=Winner!$H64,'Ohana Matches'!$U64*0.08,0)))))</f>
        <v>0</v>
      </c>
      <c r="M64" s="30">
        <f>IF(M$1=Winner!$D64,'Ohana Matches'!$U64*0.4,
 IF(M$1=Winner!$E64,'Ohana Matches'!$U64*0.25,
 IF(M$1=Winner!$F64,'Ohana Matches'!$U64*0.15,
 IF(M$1=Winner!$G64,'Ohana Matches'!$U64*0.12,
 IF(M$1=Winner!$H64,'Ohana Matches'!$U64*0.08,0)))))</f>
        <v>0</v>
      </c>
      <c r="N64" s="30">
        <f>IF(N$1=Winner!$D64,'Ohana Matches'!$U64*0.4,
 IF(N$1=Winner!$E64,'Ohana Matches'!$U64*0.25,
 IF(N$1=Winner!$F64,'Ohana Matches'!$U64*0.15,
 IF(N$1=Winner!$G64,'Ohana Matches'!$U64*0.12,
 IF(N$1=Winner!$H64,'Ohana Matches'!$U64*0.08,0)))))</f>
        <v>0</v>
      </c>
      <c r="O64" s="30">
        <f>IF(O$1=Winner!$D64,'Ohana Matches'!$U64*0.4,
 IF(O$1=Winner!$E64,'Ohana Matches'!$U64*0.25,
 IF(O$1=Winner!$F64,'Ohana Matches'!$U64*0.15,
 IF(O$1=Winner!$G64,'Ohana Matches'!$U64*0.12,
 IF(O$1=Winner!$H64,'Ohana Matches'!$U64*0.08,0)))))</f>
        <v>0</v>
      </c>
      <c r="P64" s="30">
        <f>IF(P$1=Winner!$D64,'Ohana Matches'!$U64*0.4,
 IF(P$1=Winner!$E64,'Ohana Matches'!$U64*0.25,
 IF(P$1=Winner!$F64,'Ohana Matches'!$U64*0.15,
 IF(P$1=Winner!$G64,'Ohana Matches'!$U64*0.12,
 IF(P$1=Winner!$H64,'Ohana Matches'!$U64*0.08,0)))))</f>
        <v>0</v>
      </c>
      <c r="Q64" s="30">
        <f>IF(Q$1=Winner!$D64,'Ohana Matches'!$U64*0.4,
 IF(Q$1=Winner!$E64,'Ohana Matches'!$U64*0.25,
 IF(Q$1=Winner!$F64,'Ohana Matches'!$U64*0.15,
 IF(Q$1=Winner!$G64,'Ohana Matches'!$U64*0.12,
 IF(Q$1=Winner!$H64,'Ohana Matches'!$U64*0.08,0)))))</f>
        <v>0</v>
      </c>
      <c r="R64" s="26">
        <f t="shared" si="0"/>
        <v>0</v>
      </c>
    </row>
    <row r="65" spans="1:18">
      <c r="A65" s="27">
        <v>64</v>
      </c>
      <c r="B65" s="28">
        <v>46161</v>
      </c>
      <c r="C65" s="29" t="s">
        <v>176</v>
      </c>
      <c r="D65" s="30">
        <f>IF(D$1=Winner!$D65,'Ohana Matches'!$U65*0.4,
 IF(D$1=Winner!$E65,'Ohana Matches'!$U65*0.25,
 IF(D$1=Winner!$F65,'Ohana Matches'!$U65*0.15,
 IF(D$1=Winner!$G65,'Ohana Matches'!$U65*0.12,
 IF(D$1=Winner!$H65,'Ohana Matches'!$U65*0.08,0)))))</f>
        <v>0</v>
      </c>
      <c r="E65" s="30">
        <f>IF(E$1=Winner!$D65,'Ohana Matches'!$U65*0.4,
 IF(E$1=Winner!$E65,'Ohana Matches'!$U65*0.25,
 IF(E$1=Winner!$F65,'Ohana Matches'!$U65*0.15,
 IF(E$1=Winner!$G65,'Ohana Matches'!$U65*0.12,
 IF(E$1=Winner!$H65,'Ohana Matches'!$U65*0.08,0)))))</f>
        <v>0</v>
      </c>
      <c r="F65" s="30">
        <f>IF(F$1=Winner!$D65,'Ohana Matches'!$U65*0.4,
 IF(F$1=Winner!$E65,'Ohana Matches'!$U65*0.25,
 IF(F$1=Winner!$F65,'Ohana Matches'!$U65*0.15,
 IF(F$1=Winner!$G65,'Ohana Matches'!$U65*0.12,
 IF(F$1=Winner!$H65,'Ohana Matches'!$U65*0.08,0)))))</f>
        <v>0</v>
      </c>
      <c r="G65" s="30">
        <f>IF(G$1=Winner!$D65,'Ohana Matches'!$U65*0.4,
 IF(G$1=Winner!$E65,'Ohana Matches'!$U65*0.25,
 IF(G$1=Winner!$F65,'Ohana Matches'!$U65*0.15,
 IF(G$1=Winner!$G65,'Ohana Matches'!$U65*0.12,
 IF(G$1=Winner!$H65,'Ohana Matches'!$U65*0.08,0)))))</f>
        <v>0</v>
      </c>
      <c r="H65" s="30">
        <f>IF(H$1=Winner!$D65,'Ohana Matches'!$U65*0.4,
 IF(H$1=Winner!$E65,'Ohana Matches'!$U65*0.25,
 IF(H$1=Winner!$F65,'Ohana Matches'!$U65*0.15,
 IF(H$1=Winner!$G65,'Ohana Matches'!$U65*0.12,
 IF(H$1=Winner!$H65,'Ohana Matches'!$U65*0.08,0)))))</f>
        <v>0</v>
      </c>
      <c r="I65" s="30">
        <f>IF(I$1=Winner!$D65,'Ohana Matches'!$U65*0.4,
 IF(I$1=Winner!$E65,'Ohana Matches'!$U65*0.25,
 IF(I$1=Winner!$F65,'Ohana Matches'!$U65*0.15,
 IF(I$1=Winner!$G65,'Ohana Matches'!$U65*0.12,
 IF(I$1=Winner!$H65,'Ohana Matches'!$U65*0.08,0)))))</f>
        <v>0</v>
      </c>
      <c r="J65" s="30">
        <f>IF(J$1=Winner!$D65,'Ohana Matches'!$U65*0.4,
 IF(J$1=Winner!$E65,'Ohana Matches'!$U65*0.25,
 IF(J$1=Winner!$F65,'Ohana Matches'!$U65*0.15,
 IF(J$1=Winner!$G65,'Ohana Matches'!$U65*0.12,
 IF(J$1=Winner!$H65,'Ohana Matches'!$U65*0.08,0)))))</f>
        <v>0</v>
      </c>
      <c r="K65" s="30">
        <f>IF(K$1=Winner!$D65,'Ohana Matches'!$U65*0.4,
 IF(K$1=Winner!$E65,'Ohana Matches'!$U65*0.25,
 IF(K$1=Winner!$F65,'Ohana Matches'!$U65*0.15,
 IF(K$1=Winner!$G65,'Ohana Matches'!$U65*0.12,
 IF(K$1=Winner!$H65,'Ohana Matches'!$U65*0.08,0)))))</f>
        <v>0</v>
      </c>
      <c r="L65" s="30">
        <f>IF(L$1=Winner!$D65,'Ohana Matches'!$U65*0.4,
 IF(L$1=Winner!$E65,'Ohana Matches'!$U65*0.25,
 IF(L$1=Winner!$F65,'Ohana Matches'!$U65*0.15,
 IF(L$1=Winner!$G65,'Ohana Matches'!$U65*0.12,
 IF(L$1=Winner!$H65,'Ohana Matches'!$U65*0.08,0)))))</f>
        <v>0</v>
      </c>
      <c r="M65" s="30">
        <f>IF(M$1=Winner!$D65,'Ohana Matches'!$U65*0.4,
 IF(M$1=Winner!$E65,'Ohana Matches'!$U65*0.25,
 IF(M$1=Winner!$F65,'Ohana Matches'!$U65*0.15,
 IF(M$1=Winner!$G65,'Ohana Matches'!$U65*0.12,
 IF(M$1=Winner!$H65,'Ohana Matches'!$U65*0.08,0)))))</f>
        <v>0</v>
      </c>
      <c r="N65" s="30">
        <f>IF(N$1=Winner!$D65,'Ohana Matches'!$U65*0.4,
 IF(N$1=Winner!$E65,'Ohana Matches'!$U65*0.25,
 IF(N$1=Winner!$F65,'Ohana Matches'!$U65*0.15,
 IF(N$1=Winner!$G65,'Ohana Matches'!$U65*0.12,
 IF(N$1=Winner!$H65,'Ohana Matches'!$U65*0.08,0)))))</f>
        <v>0</v>
      </c>
      <c r="O65" s="30">
        <f>IF(O$1=Winner!$D65,'Ohana Matches'!$U65*0.4,
 IF(O$1=Winner!$E65,'Ohana Matches'!$U65*0.25,
 IF(O$1=Winner!$F65,'Ohana Matches'!$U65*0.15,
 IF(O$1=Winner!$G65,'Ohana Matches'!$U65*0.12,
 IF(O$1=Winner!$H65,'Ohana Matches'!$U65*0.08,0)))))</f>
        <v>0</v>
      </c>
      <c r="P65" s="30">
        <f>IF(P$1=Winner!$D65,'Ohana Matches'!$U65*0.4,
 IF(P$1=Winner!$E65,'Ohana Matches'!$U65*0.25,
 IF(P$1=Winner!$F65,'Ohana Matches'!$U65*0.15,
 IF(P$1=Winner!$G65,'Ohana Matches'!$U65*0.12,
 IF(P$1=Winner!$H65,'Ohana Matches'!$U65*0.08,0)))))</f>
        <v>0</v>
      </c>
      <c r="Q65" s="30">
        <f>IF(Q$1=Winner!$D65,'Ohana Matches'!$U65*0.4,
 IF(Q$1=Winner!$E65,'Ohana Matches'!$U65*0.25,
 IF(Q$1=Winner!$F65,'Ohana Matches'!$U65*0.15,
 IF(Q$1=Winner!$G65,'Ohana Matches'!$U65*0.12,
 IF(Q$1=Winner!$H65,'Ohana Matches'!$U65*0.08,0)))))</f>
        <v>0</v>
      </c>
      <c r="R65" s="26">
        <f t="shared" si="0"/>
        <v>0</v>
      </c>
    </row>
    <row r="66" spans="1:18">
      <c r="A66" s="27">
        <v>65</v>
      </c>
      <c r="B66" s="28">
        <v>46162</v>
      </c>
      <c r="C66" s="29" t="s">
        <v>117</v>
      </c>
      <c r="D66" s="30">
        <f>IF(D$1=Winner!$D66,'Ohana Matches'!$U66*0.4,
 IF(D$1=Winner!$E66,'Ohana Matches'!$U66*0.25,
 IF(D$1=Winner!$F66,'Ohana Matches'!$U66*0.15,
 IF(D$1=Winner!$G66,'Ohana Matches'!$U66*0.12,
 IF(D$1=Winner!$H66,'Ohana Matches'!$U66*0.08,0)))))</f>
        <v>0</v>
      </c>
      <c r="E66" s="30">
        <f>IF(E$1=Winner!$D66,'Ohana Matches'!$U66*0.4,
 IF(E$1=Winner!$E66,'Ohana Matches'!$U66*0.25,
 IF(E$1=Winner!$F66,'Ohana Matches'!$U66*0.15,
 IF(E$1=Winner!$G66,'Ohana Matches'!$U66*0.12,
 IF(E$1=Winner!$H66,'Ohana Matches'!$U66*0.08,0)))))</f>
        <v>0</v>
      </c>
      <c r="F66" s="30">
        <f>IF(F$1=Winner!$D66,'Ohana Matches'!$U66*0.4,
 IF(F$1=Winner!$E66,'Ohana Matches'!$U66*0.25,
 IF(F$1=Winner!$F66,'Ohana Matches'!$U66*0.15,
 IF(F$1=Winner!$G66,'Ohana Matches'!$U66*0.12,
 IF(F$1=Winner!$H66,'Ohana Matches'!$U66*0.08,0)))))</f>
        <v>0</v>
      </c>
      <c r="G66" s="30">
        <f>IF(G$1=Winner!$D66,'Ohana Matches'!$U66*0.4,
 IF(G$1=Winner!$E66,'Ohana Matches'!$U66*0.25,
 IF(G$1=Winner!$F66,'Ohana Matches'!$U66*0.15,
 IF(G$1=Winner!$G66,'Ohana Matches'!$U66*0.12,
 IF(G$1=Winner!$H66,'Ohana Matches'!$U66*0.08,0)))))</f>
        <v>0</v>
      </c>
      <c r="H66" s="30">
        <f>IF(H$1=Winner!$D66,'Ohana Matches'!$U66*0.4,
 IF(H$1=Winner!$E66,'Ohana Matches'!$U66*0.25,
 IF(H$1=Winner!$F66,'Ohana Matches'!$U66*0.15,
 IF(H$1=Winner!$G66,'Ohana Matches'!$U66*0.12,
 IF(H$1=Winner!$H66,'Ohana Matches'!$U66*0.08,0)))))</f>
        <v>0</v>
      </c>
      <c r="I66" s="30">
        <f>IF(I$1=Winner!$D66,'Ohana Matches'!$U66*0.4,
 IF(I$1=Winner!$E66,'Ohana Matches'!$U66*0.25,
 IF(I$1=Winner!$F66,'Ohana Matches'!$U66*0.15,
 IF(I$1=Winner!$G66,'Ohana Matches'!$U66*0.12,
 IF(I$1=Winner!$H66,'Ohana Matches'!$U66*0.08,0)))))</f>
        <v>0</v>
      </c>
      <c r="J66" s="30">
        <f>IF(J$1=Winner!$D66,'Ohana Matches'!$U66*0.4,
 IF(J$1=Winner!$E66,'Ohana Matches'!$U66*0.25,
 IF(J$1=Winner!$F66,'Ohana Matches'!$U66*0.15,
 IF(J$1=Winner!$G66,'Ohana Matches'!$U66*0.12,
 IF(J$1=Winner!$H66,'Ohana Matches'!$U66*0.08,0)))))</f>
        <v>0</v>
      </c>
      <c r="K66" s="30">
        <f>IF(K$1=Winner!$D66,'Ohana Matches'!$U66*0.4,
 IF(K$1=Winner!$E66,'Ohana Matches'!$U66*0.25,
 IF(K$1=Winner!$F66,'Ohana Matches'!$U66*0.15,
 IF(K$1=Winner!$G66,'Ohana Matches'!$U66*0.12,
 IF(K$1=Winner!$H66,'Ohana Matches'!$U66*0.08,0)))))</f>
        <v>0</v>
      </c>
      <c r="L66" s="30">
        <f>IF(L$1=Winner!$D66,'Ohana Matches'!$U66*0.4,
 IF(L$1=Winner!$E66,'Ohana Matches'!$U66*0.25,
 IF(L$1=Winner!$F66,'Ohana Matches'!$U66*0.15,
 IF(L$1=Winner!$G66,'Ohana Matches'!$U66*0.12,
 IF(L$1=Winner!$H66,'Ohana Matches'!$U66*0.08,0)))))</f>
        <v>0</v>
      </c>
      <c r="M66" s="30">
        <f>IF(M$1=Winner!$D66,'Ohana Matches'!$U66*0.4,
 IF(M$1=Winner!$E66,'Ohana Matches'!$U66*0.25,
 IF(M$1=Winner!$F66,'Ohana Matches'!$U66*0.15,
 IF(M$1=Winner!$G66,'Ohana Matches'!$U66*0.12,
 IF(M$1=Winner!$H66,'Ohana Matches'!$U66*0.08,0)))))</f>
        <v>0</v>
      </c>
      <c r="N66" s="30">
        <f>IF(N$1=Winner!$D66,'Ohana Matches'!$U66*0.4,
 IF(N$1=Winner!$E66,'Ohana Matches'!$U66*0.25,
 IF(N$1=Winner!$F66,'Ohana Matches'!$U66*0.15,
 IF(N$1=Winner!$G66,'Ohana Matches'!$U66*0.12,
 IF(N$1=Winner!$H66,'Ohana Matches'!$U66*0.08,0)))))</f>
        <v>0</v>
      </c>
      <c r="O66" s="30">
        <f>IF(O$1=Winner!$D66,'Ohana Matches'!$U66*0.4,
 IF(O$1=Winner!$E66,'Ohana Matches'!$U66*0.25,
 IF(O$1=Winner!$F66,'Ohana Matches'!$U66*0.15,
 IF(O$1=Winner!$G66,'Ohana Matches'!$U66*0.12,
 IF(O$1=Winner!$H66,'Ohana Matches'!$U66*0.08,0)))))</f>
        <v>0</v>
      </c>
      <c r="P66" s="30">
        <f>IF(P$1=Winner!$D66,'Ohana Matches'!$U66*0.4,
 IF(P$1=Winner!$E66,'Ohana Matches'!$U66*0.25,
 IF(P$1=Winner!$F66,'Ohana Matches'!$U66*0.15,
 IF(P$1=Winner!$G66,'Ohana Matches'!$U66*0.12,
 IF(P$1=Winner!$H66,'Ohana Matches'!$U66*0.08,0)))))</f>
        <v>0</v>
      </c>
      <c r="Q66" s="30">
        <f>IF(Q$1=Winner!$D66,'Ohana Matches'!$U66*0.4,
 IF(Q$1=Winner!$E66,'Ohana Matches'!$U66*0.25,
 IF(Q$1=Winner!$F66,'Ohana Matches'!$U66*0.15,
 IF(Q$1=Winner!$G66,'Ohana Matches'!$U66*0.12,
 IF(Q$1=Winner!$H66,'Ohana Matches'!$U66*0.08,0)))))</f>
        <v>0</v>
      </c>
      <c r="R66" s="26">
        <f t="shared" si="0"/>
        <v>0</v>
      </c>
    </row>
    <row r="67" spans="1:18">
      <c r="A67" s="27">
        <v>66</v>
      </c>
      <c r="B67" s="28">
        <v>46163</v>
      </c>
      <c r="C67" s="29" t="s">
        <v>177</v>
      </c>
      <c r="D67" s="30">
        <f>IF(D$1=Winner!$D67,'Ohana Matches'!$U67*0.4,
 IF(D$1=Winner!$E67,'Ohana Matches'!$U67*0.25,
 IF(D$1=Winner!$F67,'Ohana Matches'!$U67*0.15,
 IF(D$1=Winner!$G67,'Ohana Matches'!$U67*0.12,
 IF(D$1=Winner!$H67,'Ohana Matches'!$U67*0.08,0)))))</f>
        <v>0</v>
      </c>
      <c r="E67" s="30">
        <f>IF(E$1=Winner!$D67,'Ohana Matches'!$U67*0.4,
 IF(E$1=Winner!$E67,'Ohana Matches'!$U67*0.25,
 IF(E$1=Winner!$F67,'Ohana Matches'!$U67*0.15,
 IF(E$1=Winner!$G67,'Ohana Matches'!$U67*0.12,
 IF(E$1=Winner!$H67,'Ohana Matches'!$U67*0.08,0)))))</f>
        <v>0</v>
      </c>
      <c r="F67" s="30">
        <f>IF(F$1=Winner!$D67,'Ohana Matches'!$U67*0.4,
 IF(F$1=Winner!$E67,'Ohana Matches'!$U67*0.25,
 IF(F$1=Winner!$F67,'Ohana Matches'!$U67*0.15,
 IF(F$1=Winner!$G67,'Ohana Matches'!$U67*0.12,
 IF(F$1=Winner!$H67,'Ohana Matches'!$U67*0.08,0)))))</f>
        <v>0</v>
      </c>
      <c r="G67" s="30">
        <f>IF(G$1=Winner!$D67,'Ohana Matches'!$U67*0.4,
 IF(G$1=Winner!$E67,'Ohana Matches'!$U67*0.25,
 IF(G$1=Winner!$F67,'Ohana Matches'!$U67*0.15,
 IF(G$1=Winner!$G67,'Ohana Matches'!$U67*0.12,
 IF(G$1=Winner!$H67,'Ohana Matches'!$U67*0.08,0)))))</f>
        <v>0</v>
      </c>
      <c r="H67" s="30">
        <f>IF(H$1=Winner!$D67,'Ohana Matches'!$U67*0.4,
 IF(H$1=Winner!$E67,'Ohana Matches'!$U67*0.25,
 IF(H$1=Winner!$F67,'Ohana Matches'!$U67*0.15,
 IF(H$1=Winner!$G67,'Ohana Matches'!$U67*0.12,
 IF(H$1=Winner!$H67,'Ohana Matches'!$U67*0.08,0)))))</f>
        <v>0</v>
      </c>
      <c r="I67" s="30">
        <f>IF(I$1=Winner!$D67,'Ohana Matches'!$U67*0.4,
 IF(I$1=Winner!$E67,'Ohana Matches'!$U67*0.25,
 IF(I$1=Winner!$F67,'Ohana Matches'!$U67*0.15,
 IF(I$1=Winner!$G67,'Ohana Matches'!$U67*0.12,
 IF(I$1=Winner!$H67,'Ohana Matches'!$U67*0.08,0)))))</f>
        <v>0</v>
      </c>
      <c r="J67" s="30">
        <f>IF(J$1=Winner!$D67,'Ohana Matches'!$U67*0.4,
 IF(J$1=Winner!$E67,'Ohana Matches'!$U67*0.25,
 IF(J$1=Winner!$F67,'Ohana Matches'!$U67*0.15,
 IF(J$1=Winner!$G67,'Ohana Matches'!$U67*0.12,
 IF(J$1=Winner!$H67,'Ohana Matches'!$U67*0.08,0)))))</f>
        <v>0</v>
      </c>
      <c r="K67" s="30">
        <f>IF(K$1=Winner!$D67,'Ohana Matches'!$U67*0.4,
 IF(K$1=Winner!$E67,'Ohana Matches'!$U67*0.25,
 IF(K$1=Winner!$F67,'Ohana Matches'!$U67*0.15,
 IF(K$1=Winner!$G67,'Ohana Matches'!$U67*0.12,
 IF(K$1=Winner!$H67,'Ohana Matches'!$U67*0.08,0)))))</f>
        <v>0</v>
      </c>
      <c r="L67" s="30">
        <f>IF(L$1=Winner!$D67,'Ohana Matches'!$U67*0.4,
 IF(L$1=Winner!$E67,'Ohana Matches'!$U67*0.25,
 IF(L$1=Winner!$F67,'Ohana Matches'!$U67*0.15,
 IF(L$1=Winner!$G67,'Ohana Matches'!$U67*0.12,
 IF(L$1=Winner!$H67,'Ohana Matches'!$U67*0.08,0)))))</f>
        <v>0</v>
      </c>
      <c r="M67" s="30">
        <f>IF(M$1=Winner!$D67,'Ohana Matches'!$U67*0.4,
 IF(M$1=Winner!$E67,'Ohana Matches'!$U67*0.25,
 IF(M$1=Winner!$F67,'Ohana Matches'!$U67*0.15,
 IF(M$1=Winner!$G67,'Ohana Matches'!$U67*0.12,
 IF(M$1=Winner!$H67,'Ohana Matches'!$U67*0.08,0)))))</f>
        <v>0</v>
      </c>
      <c r="N67" s="30">
        <f>IF(N$1=Winner!$D67,'Ohana Matches'!$U67*0.4,
 IF(N$1=Winner!$E67,'Ohana Matches'!$U67*0.25,
 IF(N$1=Winner!$F67,'Ohana Matches'!$U67*0.15,
 IF(N$1=Winner!$G67,'Ohana Matches'!$U67*0.12,
 IF(N$1=Winner!$H67,'Ohana Matches'!$U67*0.08,0)))))</f>
        <v>0</v>
      </c>
      <c r="O67" s="30">
        <f>IF(O$1=Winner!$D67,'Ohana Matches'!$U67*0.4,
 IF(O$1=Winner!$E67,'Ohana Matches'!$U67*0.25,
 IF(O$1=Winner!$F67,'Ohana Matches'!$U67*0.15,
 IF(O$1=Winner!$G67,'Ohana Matches'!$U67*0.12,
 IF(O$1=Winner!$H67,'Ohana Matches'!$U67*0.08,0)))))</f>
        <v>0</v>
      </c>
      <c r="P67" s="30">
        <f>IF(P$1=Winner!$D67,'Ohana Matches'!$U67*0.4,
 IF(P$1=Winner!$E67,'Ohana Matches'!$U67*0.25,
 IF(P$1=Winner!$F67,'Ohana Matches'!$U67*0.15,
 IF(P$1=Winner!$G67,'Ohana Matches'!$U67*0.12,
 IF(P$1=Winner!$H67,'Ohana Matches'!$U67*0.08,0)))))</f>
        <v>0</v>
      </c>
      <c r="Q67" s="30">
        <f>IF(Q$1=Winner!$D67,'Ohana Matches'!$U67*0.4,
 IF(Q$1=Winner!$E67,'Ohana Matches'!$U67*0.25,
 IF(Q$1=Winner!$F67,'Ohana Matches'!$U67*0.15,
 IF(Q$1=Winner!$G67,'Ohana Matches'!$U67*0.12,
 IF(Q$1=Winner!$H67,'Ohana Matches'!$U67*0.08,0)))))</f>
        <v>0</v>
      </c>
      <c r="R67" s="26">
        <f t="shared" ref="R67:R71" si="1">SUM(D67:N67)</f>
        <v>0</v>
      </c>
    </row>
    <row r="68" spans="1:18">
      <c r="A68" s="27">
        <v>67</v>
      </c>
      <c r="B68" s="28">
        <v>46164</v>
      </c>
      <c r="C68" s="29" t="s">
        <v>116</v>
      </c>
      <c r="D68" s="30">
        <f>IF(D$1=Winner!$D68,'Ohana Matches'!$U68*0.4,
 IF(D$1=Winner!$E68,'Ohana Matches'!$U68*0.25,
 IF(D$1=Winner!$F68,'Ohana Matches'!$U68*0.15,
 IF(D$1=Winner!$G68,'Ohana Matches'!$U68*0.12,
 IF(D$1=Winner!$H68,'Ohana Matches'!$U68*0.08,0)))))</f>
        <v>0</v>
      </c>
      <c r="E68" s="30">
        <f>IF(E$1=Winner!$D68,'Ohana Matches'!$U68*0.4,
 IF(E$1=Winner!$E68,'Ohana Matches'!$U68*0.25,
 IF(E$1=Winner!$F68,'Ohana Matches'!$U68*0.15,
 IF(E$1=Winner!$G68,'Ohana Matches'!$U68*0.12,
 IF(E$1=Winner!$H68,'Ohana Matches'!$U68*0.08,0)))))</f>
        <v>0</v>
      </c>
      <c r="F68" s="30">
        <f>IF(F$1=Winner!$D68,'Ohana Matches'!$U68*0.4,
 IF(F$1=Winner!$E68,'Ohana Matches'!$U68*0.25,
 IF(F$1=Winner!$F68,'Ohana Matches'!$U68*0.15,
 IF(F$1=Winner!$G68,'Ohana Matches'!$U68*0.12,
 IF(F$1=Winner!$H68,'Ohana Matches'!$U68*0.08,0)))))</f>
        <v>0</v>
      </c>
      <c r="G68" s="30">
        <f>IF(G$1=Winner!$D68,'Ohana Matches'!$U68*0.4,
 IF(G$1=Winner!$E68,'Ohana Matches'!$U68*0.25,
 IF(G$1=Winner!$F68,'Ohana Matches'!$U68*0.15,
 IF(G$1=Winner!$G68,'Ohana Matches'!$U68*0.12,
 IF(G$1=Winner!$H68,'Ohana Matches'!$U68*0.08,0)))))</f>
        <v>0</v>
      </c>
      <c r="H68" s="30">
        <f>IF(H$1=Winner!$D68,'Ohana Matches'!$U68*0.4,
 IF(H$1=Winner!$E68,'Ohana Matches'!$U68*0.25,
 IF(H$1=Winner!$F68,'Ohana Matches'!$U68*0.15,
 IF(H$1=Winner!$G68,'Ohana Matches'!$U68*0.12,
 IF(H$1=Winner!$H68,'Ohana Matches'!$U68*0.08,0)))))</f>
        <v>0</v>
      </c>
      <c r="I68" s="30">
        <f>IF(I$1=Winner!$D68,'Ohana Matches'!$U68*0.4,
 IF(I$1=Winner!$E68,'Ohana Matches'!$U68*0.25,
 IF(I$1=Winner!$F68,'Ohana Matches'!$U68*0.15,
 IF(I$1=Winner!$G68,'Ohana Matches'!$U68*0.12,
 IF(I$1=Winner!$H68,'Ohana Matches'!$U68*0.08,0)))))</f>
        <v>0</v>
      </c>
      <c r="J68" s="30">
        <f>IF(J$1=Winner!$D68,'Ohana Matches'!$U68*0.4,
 IF(J$1=Winner!$E68,'Ohana Matches'!$U68*0.25,
 IF(J$1=Winner!$F68,'Ohana Matches'!$U68*0.15,
 IF(J$1=Winner!$G68,'Ohana Matches'!$U68*0.12,
 IF(J$1=Winner!$H68,'Ohana Matches'!$U68*0.08,0)))))</f>
        <v>0</v>
      </c>
      <c r="K68" s="30">
        <f>IF(K$1=Winner!$D68,'Ohana Matches'!$U68*0.4,
 IF(K$1=Winner!$E68,'Ohana Matches'!$U68*0.25,
 IF(K$1=Winner!$F68,'Ohana Matches'!$U68*0.15,
 IF(K$1=Winner!$G68,'Ohana Matches'!$U68*0.12,
 IF(K$1=Winner!$H68,'Ohana Matches'!$U68*0.08,0)))))</f>
        <v>0</v>
      </c>
      <c r="L68" s="30">
        <f>IF(L$1=Winner!$D68,'Ohana Matches'!$U68*0.4,
 IF(L$1=Winner!$E68,'Ohana Matches'!$U68*0.25,
 IF(L$1=Winner!$F68,'Ohana Matches'!$U68*0.15,
 IF(L$1=Winner!$G68,'Ohana Matches'!$U68*0.12,
 IF(L$1=Winner!$H68,'Ohana Matches'!$U68*0.08,0)))))</f>
        <v>0</v>
      </c>
      <c r="M68" s="30">
        <f>IF(M$1=Winner!$D68,'Ohana Matches'!$U68*0.4,
 IF(M$1=Winner!$E68,'Ohana Matches'!$U68*0.25,
 IF(M$1=Winner!$F68,'Ohana Matches'!$U68*0.15,
 IF(M$1=Winner!$G68,'Ohana Matches'!$U68*0.12,
 IF(M$1=Winner!$H68,'Ohana Matches'!$U68*0.08,0)))))</f>
        <v>0</v>
      </c>
      <c r="N68" s="30">
        <f>IF(N$1=Winner!$D68,'Ohana Matches'!$U68*0.4,
 IF(N$1=Winner!$E68,'Ohana Matches'!$U68*0.25,
 IF(N$1=Winner!$F68,'Ohana Matches'!$U68*0.15,
 IF(N$1=Winner!$G68,'Ohana Matches'!$U68*0.12,
 IF(N$1=Winner!$H68,'Ohana Matches'!$U68*0.08,0)))))</f>
        <v>0</v>
      </c>
      <c r="O68" s="30">
        <f>IF(O$1=Winner!$D68,'Ohana Matches'!$U68*0.4,
 IF(O$1=Winner!$E68,'Ohana Matches'!$U68*0.25,
 IF(O$1=Winner!$F68,'Ohana Matches'!$U68*0.15,
 IF(O$1=Winner!$G68,'Ohana Matches'!$U68*0.12,
 IF(O$1=Winner!$H68,'Ohana Matches'!$U68*0.08,0)))))</f>
        <v>0</v>
      </c>
      <c r="P68" s="30">
        <f>IF(P$1=Winner!$D68,'Ohana Matches'!$U68*0.4,
 IF(P$1=Winner!$E68,'Ohana Matches'!$U68*0.25,
 IF(P$1=Winner!$F68,'Ohana Matches'!$U68*0.15,
 IF(P$1=Winner!$G68,'Ohana Matches'!$U68*0.12,
 IF(P$1=Winner!$H68,'Ohana Matches'!$U68*0.08,0)))))</f>
        <v>0</v>
      </c>
      <c r="Q68" s="30">
        <f>IF(Q$1=Winner!$D68,'Ohana Matches'!$U68*0.4,
 IF(Q$1=Winner!$E68,'Ohana Matches'!$U68*0.25,
 IF(Q$1=Winner!$F68,'Ohana Matches'!$U68*0.15,
 IF(Q$1=Winner!$G68,'Ohana Matches'!$U68*0.12,
 IF(Q$1=Winner!$H68,'Ohana Matches'!$U68*0.08,0)))))</f>
        <v>0</v>
      </c>
      <c r="R68" s="26">
        <f t="shared" si="1"/>
        <v>0</v>
      </c>
    </row>
    <row r="69" spans="1:18">
      <c r="A69" s="27">
        <v>68</v>
      </c>
      <c r="B69" s="28">
        <v>46165</v>
      </c>
      <c r="C69" s="29" t="s">
        <v>178</v>
      </c>
      <c r="D69" s="30">
        <f>IF(D$1=Winner!$D69,'Ohana Matches'!$U69*0.4,
 IF(D$1=Winner!$E69,'Ohana Matches'!$U69*0.25,
 IF(D$1=Winner!$F69,'Ohana Matches'!$U69*0.15,
 IF(D$1=Winner!$G69,'Ohana Matches'!$U69*0.12,
 IF(D$1=Winner!$H69,'Ohana Matches'!$U69*0.08,0)))))</f>
        <v>0</v>
      </c>
      <c r="E69" s="30">
        <f>IF(E$1=Winner!$D69,'Ohana Matches'!$U69*0.4,
 IF(E$1=Winner!$E69,'Ohana Matches'!$U69*0.25,
 IF(E$1=Winner!$F69,'Ohana Matches'!$U69*0.15,
 IF(E$1=Winner!$G69,'Ohana Matches'!$U69*0.12,
 IF(E$1=Winner!$H69,'Ohana Matches'!$U69*0.08,0)))))</f>
        <v>0</v>
      </c>
      <c r="F69" s="30">
        <f>IF(F$1=Winner!$D69,'Ohana Matches'!$U69*0.4,
 IF(F$1=Winner!$E69,'Ohana Matches'!$U69*0.25,
 IF(F$1=Winner!$F69,'Ohana Matches'!$U69*0.15,
 IF(F$1=Winner!$G69,'Ohana Matches'!$U69*0.12,
 IF(F$1=Winner!$H69,'Ohana Matches'!$U69*0.08,0)))))</f>
        <v>0</v>
      </c>
      <c r="G69" s="30">
        <f>IF(G$1=Winner!$D69,'Ohana Matches'!$U69*0.4,
 IF(G$1=Winner!$E69,'Ohana Matches'!$U69*0.25,
 IF(G$1=Winner!$F69,'Ohana Matches'!$U69*0.15,
 IF(G$1=Winner!$G69,'Ohana Matches'!$U69*0.12,
 IF(G$1=Winner!$H69,'Ohana Matches'!$U69*0.08,0)))))</f>
        <v>0</v>
      </c>
      <c r="H69" s="30">
        <f>IF(H$1=Winner!$D69,'Ohana Matches'!$U69*0.4,
 IF(H$1=Winner!$E69,'Ohana Matches'!$U69*0.25,
 IF(H$1=Winner!$F69,'Ohana Matches'!$U69*0.15,
 IF(H$1=Winner!$G69,'Ohana Matches'!$U69*0.12,
 IF(H$1=Winner!$H69,'Ohana Matches'!$U69*0.08,0)))))</f>
        <v>0</v>
      </c>
      <c r="I69" s="30">
        <f>IF(I$1=Winner!$D69,'Ohana Matches'!$U69*0.4,
 IF(I$1=Winner!$E69,'Ohana Matches'!$U69*0.25,
 IF(I$1=Winner!$F69,'Ohana Matches'!$U69*0.15,
 IF(I$1=Winner!$G69,'Ohana Matches'!$U69*0.12,
 IF(I$1=Winner!$H69,'Ohana Matches'!$U69*0.08,0)))))</f>
        <v>0</v>
      </c>
      <c r="J69" s="30">
        <f>IF(J$1=Winner!$D69,'Ohana Matches'!$U69*0.4,
 IF(J$1=Winner!$E69,'Ohana Matches'!$U69*0.25,
 IF(J$1=Winner!$F69,'Ohana Matches'!$U69*0.15,
 IF(J$1=Winner!$G69,'Ohana Matches'!$U69*0.12,
 IF(J$1=Winner!$H69,'Ohana Matches'!$U69*0.08,0)))))</f>
        <v>0</v>
      </c>
      <c r="K69" s="30">
        <f>IF(K$1=Winner!$D69,'Ohana Matches'!$U69*0.4,
 IF(K$1=Winner!$E69,'Ohana Matches'!$U69*0.25,
 IF(K$1=Winner!$F69,'Ohana Matches'!$U69*0.15,
 IF(K$1=Winner!$G69,'Ohana Matches'!$U69*0.12,
 IF(K$1=Winner!$H69,'Ohana Matches'!$U69*0.08,0)))))</f>
        <v>0</v>
      </c>
      <c r="L69" s="30">
        <f>IF(L$1=Winner!$D69,'Ohana Matches'!$U69*0.4,
 IF(L$1=Winner!$E69,'Ohana Matches'!$U69*0.25,
 IF(L$1=Winner!$F69,'Ohana Matches'!$U69*0.15,
 IF(L$1=Winner!$G69,'Ohana Matches'!$U69*0.12,
 IF(L$1=Winner!$H69,'Ohana Matches'!$U69*0.08,0)))))</f>
        <v>0</v>
      </c>
      <c r="M69" s="30">
        <f>IF(M$1=Winner!$D69,'Ohana Matches'!$U69*0.4,
 IF(M$1=Winner!$E69,'Ohana Matches'!$U69*0.25,
 IF(M$1=Winner!$F69,'Ohana Matches'!$U69*0.15,
 IF(M$1=Winner!$G69,'Ohana Matches'!$U69*0.12,
 IF(M$1=Winner!$H69,'Ohana Matches'!$U69*0.08,0)))))</f>
        <v>0</v>
      </c>
      <c r="N69" s="30">
        <f>IF(N$1=Winner!$D69,'Ohana Matches'!$U69*0.4,
 IF(N$1=Winner!$E69,'Ohana Matches'!$U69*0.25,
 IF(N$1=Winner!$F69,'Ohana Matches'!$U69*0.15,
 IF(N$1=Winner!$G69,'Ohana Matches'!$U69*0.12,
 IF(N$1=Winner!$H69,'Ohana Matches'!$U69*0.08,0)))))</f>
        <v>0</v>
      </c>
      <c r="O69" s="30">
        <f>IF(O$1=Winner!$D69,'Ohana Matches'!$U69*0.4,
 IF(O$1=Winner!$E69,'Ohana Matches'!$U69*0.25,
 IF(O$1=Winner!$F69,'Ohana Matches'!$U69*0.15,
 IF(O$1=Winner!$G69,'Ohana Matches'!$U69*0.12,
 IF(O$1=Winner!$H69,'Ohana Matches'!$U69*0.08,0)))))</f>
        <v>0</v>
      </c>
      <c r="P69" s="30">
        <f>IF(P$1=Winner!$D69,'Ohana Matches'!$U69*0.4,
 IF(P$1=Winner!$E69,'Ohana Matches'!$U69*0.25,
 IF(P$1=Winner!$F69,'Ohana Matches'!$U69*0.15,
 IF(P$1=Winner!$G69,'Ohana Matches'!$U69*0.12,
 IF(P$1=Winner!$H69,'Ohana Matches'!$U69*0.08,0)))))</f>
        <v>0</v>
      </c>
      <c r="Q69" s="30">
        <f>IF(Q$1=Winner!$D69,'Ohana Matches'!$U69*0.4,
 IF(Q$1=Winner!$E69,'Ohana Matches'!$U69*0.25,
 IF(Q$1=Winner!$F69,'Ohana Matches'!$U69*0.15,
 IF(Q$1=Winner!$G69,'Ohana Matches'!$U69*0.12,
 IF(Q$1=Winner!$H69,'Ohana Matches'!$U69*0.08,0)))))</f>
        <v>0</v>
      </c>
      <c r="R69" s="26">
        <f t="shared" si="1"/>
        <v>0</v>
      </c>
    </row>
    <row r="70" spans="1:18">
      <c r="A70" s="27">
        <v>69</v>
      </c>
      <c r="B70" s="28">
        <v>46166</v>
      </c>
      <c r="C70" s="29" t="s">
        <v>179</v>
      </c>
      <c r="D70" s="30">
        <f>IF(D$1=Winner!$D70,'Ohana Matches'!$U70*0.4,
 IF(D$1=Winner!$E70,'Ohana Matches'!$U70*0.25,
 IF(D$1=Winner!$F70,'Ohana Matches'!$U70*0.15,
 IF(D$1=Winner!$G70,'Ohana Matches'!$U70*0.12,
 IF(D$1=Winner!$H70,'Ohana Matches'!$U70*0.08,0)))))</f>
        <v>0</v>
      </c>
      <c r="E70" s="30">
        <f>IF(E$1=Winner!$D70,'Ohana Matches'!$U70*0.4,
 IF(E$1=Winner!$E70,'Ohana Matches'!$U70*0.25,
 IF(E$1=Winner!$F70,'Ohana Matches'!$U70*0.15,
 IF(E$1=Winner!$G70,'Ohana Matches'!$U70*0.12,
 IF(E$1=Winner!$H70,'Ohana Matches'!$U70*0.08,0)))))</f>
        <v>0</v>
      </c>
      <c r="F70" s="30">
        <f>IF(F$1=Winner!$D70,'Ohana Matches'!$U70*0.4,
 IF(F$1=Winner!$E70,'Ohana Matches'!$U70*0.25,
 IF(F$1=Winner!$F70,'Ohana Matches'!$U70*0.15,
 IF(F$1=Winner!$G70,'Ohana Matches'!$U70*0.12,
 IF(F$1=Winner!$H70,'Ohana Matches'!$U70*0.08,0)))))</f>
        <v>0</v>
      </c>
      <c r="G70" s="30">
        <f>IF(G$1=Winner!$D70,'Ohana Matches'!$U70*0.4,
 IF(G$1=Winner!$E70,'Ohana Matches'!$U70*0.25,
 IF(G$1=Winner!$F70,'Ohana Matches'!$U70*0.15,
 IF(G$1=Winner!$G70,'Ohana Matches'!$U70*0.12,
 IF(G$1=Winner!$H70,'Ohana Matches'!$U70*0.08,0)))))</f>
        <v>0</v>
      </c>
      <c r="H70" s="30">
        <f>IF(H$1=Winner!$D70,'Ohana Matches'!$U70*0.4,
 IF(H$1=Winner!$E70,'Ohana Matches'!$U70*0.25,
 IF(H$1=Winner!$F70,'Ohana Matches'!$U70*0.15,
 IF(H$1=Winner!$G70,'Ohana Matches'!$U70*0.12,
 IF(H$1=Winner!$H70,'Ohana Matches'!$U70*0.08,0)))))</f>
        <v>0</v>
      </c>
      <c r="I70" s="30">
        <f>IF(I$1=Winner!$D70,'Ohana Matches'!$U70*0.4,
 IF(I$1=Winner!$E70,'Ohana Matches'!$U70*0.25,
 IF(I$1=Winner!$F70,'Ohana Matches'!$U70*0.15,
 IF(I$1=Winner!$G70,'Ohana Matches'!$U70*0.12,
 IF(I$1=Winner!$H70,'Ohana Matches'!$U70*0.08,0)))))</f>
        <v>0</v>
      </c>
      <c r="J70" s="30">
        <f>IF(J$1=Winner!$D70,'Ohana Matches'!$U70*0.4,
 IF(J$1=Winner!$E70,'Ohana Matches'!$U70*0.25,
 IF(J$1=Winner!$F70,'Ohana Matches'!$U70*0.15,
 IF(J$1=Winner!$G70,'Ohana Matches'!$U70*0.12,
 IF(J$1=Winner!$H70,'Ohana Matches'!$U70*0.08,0)))))</f>
        <v>0</v>
      </c>
      <c r="K70" s="30">
        <f>IF(K$1=Winner!$D70,'Ohana Matches'!$U70*0.4,
 IF(K$1=Winner!$E70,'Ohana Matches'!$U70*0.25,
 IF(K$1=Winner!$F70,'Ohana Matches'!$U70*0.15,
 IF(K$1=Winner!$G70,'Ohana Matches'!$U70*0.12,
 IF(K$1=Winner!$H70,'Ohana Matches'!$U70*0.08,0)))))</f>
        <v>0</v>
      </c>
      <c r="L70" s="30">
        <f>IF(L$1=Winner!$D70,'Ohana Matches'!$U70*0.4,
 IF(L$1=Winner!$E70,'Ohana Matches'!$U70*0.25,
 IF(L$1=Winner!$F70,'Ohana Matches'!$U70*0.15,
 IF(L$1=Winner!$G70,'Ohana Matches'!$U70*0.12,
 IF(L$1=Winner!$H70,'Ohana Matches'!$U70*0.08,0)))))</f>
        <v>0</v>
      </c>
      <c r="M70" s="30">
        <f>IF(M$1=Winner!$D70,'Ohana Matches'!$U70*0.4,
 IF(M$1=Winner!$E70,'Ohana Matches'!$U70*0.25,
 IF(M$1=Winner!$F70,'Ohana Matches'!$U70*0.15,
 IF(M$1=Winner!$G70,'Ohana Matches'!$U70*0.12,
 IF(M$1=Winner!$H70,'Ohana Matches'!$U70*0.08,0)))))</f>
        <v>0</v>
      </c>
      <c r="N70" s="30">
        <f>IF(N$1=Winner!$D70,'Ohana Matches'!$U70*0.4,
 IF(N$1=Winner!$E70,'Ohana Matches'!$U70*0.25,
 IF(N$1=Winner!$F70,'Ohana Matches'!$U70*0.15,
 IF(N$1=Winner!$G70,'Ohana Matches'!$U70*0.12,
 IF(N$1=Winner!$H70,'Ohana Matches'!$U70*0.08,0)))))</f>
        <v>0</v>
      </c>
      <c r="O70" s="30">
        <f>IF(O$1=Winner!$D70,'Ohana Matches'!$U70*0.4,
 IF(O$1=Winner!$E70,'Ohana Matches'!$U70*0.25,
 IF(O$1=Winner!$F70,'Ohana Matches'!$U70*0.15,
 IF(O$1=Winner!$G70,'Ohana Matches'!$U70*0.12,
 IF(O$1=Winner!$H70,'Ohana Matches'!$U70*0.08,0)))))</f>
        <v>0</v>
      </c>
      <c r="P70" s="30">
        <f>IF(P$1=Winner!$D70,'Ohana Matches'!$U70*0.4,
 IF(P$1=Winner!$E70,'Ohana Matches'!$U70*0.25,
 IF(P$1=Winner!$F70,'Ohana Matches'!$U70*0.15,
 IF(P$1=Winner!$G70,'Ohana Matches'!$U70*0.12,
 IF(P$1=Winner!$H70,'Ohana Matches'!$U70*0.08,0)))))</f>
        <v>0</v>
      </c>
      <c r="Q70" s="30">
        <f>IF(Q$1=Winner!$D70,'Ohana Matches'!$U70*0.4,
 IF(Q$1=Winner!$E70,'Ohana Matches'!$U70*0.25,
 IF(Q$1=Winner!$F70,'Ohana Matches'!$U70*0.15,
 IF(Q$1=Winner!$G70,'Ohana Matches'!$U70*0.12,
 IF(Q$1=Winner!$H70,'Ohana Matches'!$U70*0.08,0)))))</f>
        <v>0</v>
      </c>
      <c r="R70" s="26">
        <f t="shared" si="1"/>
        <v>0</v>
      </c>
    </row>
    <row r="71" spans="1:18">
      <c r="A71" s="27">
        <v>70</v>
      </c>
      <c r="B71" s="28">
        <v>46166</v>
      </c>
      <c r="C71" s="29" t="s">
        <v>180</v>
      </c>
      <c r="D71" s="30">
        <f>IF(D$1=Winner!$D71,'Ohana Matches'!$U71*0.4,
 IF(D$1=Winner!$E71,'Ohana Matches'!$U71*0.25,
 IF(D$1=Winner!$F71,'Ohana Matches'!$U71*0.15,
 IF(D$1=Winner!$G71,'Ohana Matches'!$U71*0.12,
 IF(D$1=Winner!$H71,'Ohana Matches'!$U71*0.08,0)))))</f>
        <v>0</v>
      </c>
      <c r="E71" s="30">
        <f>IF(E$1=Winner!$D71,'Ohana Matches'!$U71*0.4,
 IF(E$1=Winner!$E71,'Ohana Matches'!$U71*0.25,
 IF(E$1=Winner!$F71,'Ohana Matches'!$U71*0.15,
 IF(E$1=Winner!$G71,'Ohana Matches'!$U71*0.12,
 IF(E$1=Winner!$H71,'Ohana Matches'!$U71*0.08,0)))))</f>
        <v>0</v>
      </c>
      <c r="F71" s="30">
        <f>IF(F$1=Winner!$D71,'Ohana Matches'!$U71*0.4,
 IF(F$1=Winner!$E71,'Ohana Matches'!$U71*0.25,
 IF(F$1=Winner!$F71,'Ohana Matches'!$U71*0.15,
 IF(F$1=Winner!$G71,'Ohana Matches'!$U71*0.12,
 IF(F$1=Winner!$H71,'Ohana Matches'!$U71*0.08,0)))))</f>
        <v>0</v>
      </c>
      <c r="G71" s="30">
        <f>IF(G$1=Winner!$D71,'Ohana Matches'!$U71*0.4,
 IF(G$1=Winner!$E71,'Ohana Matches'!$U71*0.25,
 IF(G$1=Winner!$F71,'Ohana Matches'!$U71*0.15,
 IF(G$1=Winner!$G71,'Ohana Matches'!$U71*0.12,
 IF(G$1=Winner!$H71,'Ohana Matches'!$U71*0.08,0)))))</f>
        <v>0</v>
      </c>
      <c r="H71" s="30">
        <f>IF(H$1=Winner!$D71,'Ohana Matches'!$U71*0.4,
 IF(H$1=Winner!$E71,'Ohana Matches'!$U71*0.25,
 IF(H$1=Winner!$F71,'Ohana Matches'!$U71*0.15,
 IF(H$1=Winner!$G71,'Ohana Matches'!$U71*0.12,
 IF(H$1=Winner!$H71,'Ohana Matches'!$U71*0.08,0)))))</f>
        <v>0</v>
      </c>
      <c r="I71" s="30">
        <f>IF(I$1=Winner!$D71,'Ohana Matches'!$U71*0.4,
 IF(I$1=Winner!$E71,'Ohana Matches'!$U71*0.25,
 IF(I$1=Winner!$F71,'Ohana Matches'!$U71*0.15,
 IF(I$1=Winner!$G71,'Ohana Matches'!$U71*0.12,
 IF(I$1=Winner!$H71,'Ohana Matches'!$U71*0.08,0)))))</f>
        <v>0</v>
      </c>
      <c r="J71" s="30">
        <f>IF(J$1=Winner!$D71,'Ohana Matches'!$U71*0.4,
 IF(J$1=Winner!$E71,'Ohana Matches'!$U71*0.25,
 IF(J$1=Winner!$F71,'Ohana Matches'!$U71*0.15,
 IF(J$1=Winner!$G71,'Ohana Matches'!$U71*0.12,
 IF(J$1=Winner!$H71,'Ohana Matches'!$U71*0.08,0)))))</f>
        <v>0</v>
      </c>
      <c r="K71" s="30">
        <f>IF(K$1=Winner!$D71,'Ohana Matches'!$U71*0.4,
 IF(K$1=Winner!$E71,'Ohana Matches'!$U71*0.25,
 IF(K$1=Winner!$F71,'Ohana Matches'!$U71*0.15,
 IF(K$1=Winner!$G71,'Ohana Matches'!$U71*0.12,
 IF(K$1=Winner!$H71,'Ohana Matches'!$U71*0.08,0)))))</f>
        <v>0</v>
      </c>
      <c r="L71" s="30">
        <f>IF(L$1=Winner!$D71,'Ohana Matches'!$U71*0.4,
 IF(L$1=Winner!$E71,'Ohana Matches'!$U71*0.25,
 IF(L$1=Winner!$F71,'Ohana Matches'!$U71*0.15,
 IF(L$1=Winner!$G71,'Ohana Matches'!$U71*0.12,
 IF(L$1=Winner!$H71,'Ohana Matches'!$U71*0.08,0)))))</f>
        <v>0</v>
      </c>
      <c r="M71" s="30">
        <f>IF(M$1=Winner!$D71,'Ohana Matches'!$U71*0.4,
 IF(M$1=Winner!$E71,'Ohana Matches'!$U71*0.25,
 IF(M$1=Winner!$F71,'Ohana Matches'!$U71*0.15,
 IF(M$1=Winner!$G71,'Ohana Matches'!$U71*0.12,
 IF(M$1=Winner!$H71,'Ohana Matches'!$U71*0.08,0)))))</f>
        <v>0</v>
      </c>
      <c r="N71" s="30">
        <f>IF(N$1=Winner!$D71,'Ohana Matches'!$U71*0.4,
 IF(N$1=Winner!$E71,'Ohana Matches'!$U71*0.25,
 IF(N$1=Winner!$F71,'Ohana Matches'!$U71*0.15,
 IF(N$1=Winner!$G71,'Ohana Matches'!$U71*0.12,
 IF(N$1=Winner!$H71,'Ohana Matches'!$U71*0.08,0)))))</f>
        <v>0</v>
      </c>
      <c r="O71" s="30">
        <f>IF(O$1=Winner!$D71,'Ohana Matches'!$U71*0.4,
 IF(O$1=Winner!$E71,'Ohana Matches'!$U71*0.25,
 IF(O$1=Winner!$F71,'Ohana Matches'!$U71*0.15,
 IF(O$1=Winner!$G71,'Ohana Matches'!$U71*0.12,
 IF(O$1=Winner!$H71,'Ohana Matches'!$U71*0.08,0)))))</f>
        <v>0</v>
      </c>
      <c r="P71" s="30">
        <f>IF(P$1=Winner!$D71,'Ohana Matches'!$U71*0.4,
 IF(P$1=Winner!$E71,'Ohana Matches'!$U71*0.25,
 IF(P$1=Winner!$F71,'Ohana Matches'!$U71*0.15,
 IF(P$1=Winner!$G71,'Ohana Matches'!$U71*0.12,
 IF(P$1=Winner!$H71,'Ohana Matches'!$U71*0.08,0)))))</f>
        <v>0</v>
      </c>
      <c r="Q71" s="30">
        <f>IF(Q$1=Winner!$D71,'Ohana Matches'!$U71*0.4,
 IF(Q$1=Winner!$E71,'Ohana Matches'!$U71*0.25,
 IF(Q$1=Winner!$F71,'Ohana Matches'!$U71*0.15,
 IF(Q$1=Winner!$G71,'Ohana Matches'!$U71*0.12,
 IF(Q$1=Winner!$H71,'Ohana Matches'!$U71*0.08,0)))))</f>
        <v>0</v>
      </c>
      <c r="R71" s="26">
        <f t="shared" si="1"/>
        <v>0</v>
      </c>
    </row>
    <row r="72" spans="1:18">
      <c r="A72" s="14" t="s">
        <v>115</v>
      </c>
      <c r="B72" s="14"/>
      <c r="C72" s="7"/>
      <c r="D72" s="7">
        <f>SUM(D2:D71)</f>
        <v>272</v>
      </c>
      <c r="E72" s="7">
        <f t="shared" ref="E72:N72" si="2">SUM(E2:E71)</f>
        <v>0</v>
      </c>
      <c r="F72" s="7">
        <f t="shared" si="2"/>
        <v>0</v>
      </c>
      <c r="G72" s="7">
        <f t="shared" si="2"/>
        <v>0</v>
      </c>
      <c r="H72" s="7">
        <f t="shared" si="2"/>
        <v>170</v>
      </c>
      <c r="I72" s="7">
        <f t="shared" si="2"/>
        <v>0</v>
      </c>
      <c r="J72" s="7">
        <f t="shared" si="2"/>
        <v>81.599999999999994</v>
      </c>
      <c r="K72" s="7">
        <f t="shared" si="2"/>
        <v>0</v>
      </c>
      <c r="L72" s="7">
        <f t="shared" si="2"/>
        <v>102</v>
      </c>
      <c r="M72" s="7">
        <f t="shared" si="2"/>
        <v>0</v>
      </c>
      <c r="N72" s="7">
        <f t="shared" si="2"/>
        <v>0</v>
      </c>
      <c r="O72" s="7"/>
      <c r="P72" s="7"/>
      <c r="Q72" s="7"/>
      <c r="R72" s="9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0"/>
    </row>
    <row r="74" spans="1:18">
      <c r="A74" s="1"/>
      <c r="B74" s="1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0"/>
    </row>
    <row r="75" spans="1:18" ht="30.75">
      <c r="A75" s="4"/>
      <c r="B75" s="13"/>
      <c r="C75" s="5" t="s">
        <v>101</v>
      </c>
      <c r="D75" s="6" t="s">
        <v>187</v>
      </c>
      <c r="E75" s="1" t="s">
        <v>188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0"/>
    </row>
    <row r="76" spans="1:18" ht="30.75">
      <c r="A76" s="1"/>
      <c r="B76" s="1"/>
      <c r="C76" s="1" t="s">
        <v>102</v>
      </c>
      <c r="D76" s="1" t="s">
        <v>189</v>
      </c>
      <c r="E76" s="1" t="s">
        <v>190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0"/>
    </row>
    <row r="77" spans="1: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0"/>
    </row>
    <row r="78" spans="1: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0"/>
    </row>
    <row r="79" spans="1: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0"/>
    </row>
    <row r="80" spans="1: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0"/>
    </row>
    <row r="81" spans="1: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0"/>
    </row>
    <row r="82" spans="1:18">
      <c r="A82" s="2"/>
      <c r="B82" s="2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11"/>
    </row>
    <row r="83" spans="1:18">
      <c r="A83" s="2"/>
      <c r="B83" s="2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11"/>
    </row>
    <row r="84" spans="1:18">
      <c r="A84" s="2"/>
      <c r="B84" s="2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11"/>
    </row>
    <row r="85" spans="1:18">
      <c r="A85" s="2"/>
      <c r="B85" s="2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11"/>
    </row>
    <row r="86" spans="1:18">
      <c r="A86" s="2"/>
      <c r="B86" s="2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5042-D8A2-4798-9AA7-DC92682C6BD1}">
  <dimension ref="A1:H17"/>
  <sheetViews>
    <sheetView workbookViewId="0">
      <selection activeCell="J13" sqref="J13"/>
    </sheetView>
  </sheetViews>
  <sheetFormatPr defaultRowHeight="14.45"/>
  <cols>
    <col min="1" max="1" width="29.7109375" customWidth="1"/>
    <col min="2" max="2" width="12.42578125" bestFit="1" customWidth="1"/>
  </cols>
  <sheetData>
    <row r="1" spans="1:8" ht="45.75">
      <c r="A1" s="17" t="s">
        <v>191</v>
      </c>
      <c r="B1" s="18" t="s">
        <v>192</v>
      </c>
      <c r="C1" s="18" t="s">
        <v>193</v>
      </c>
      <c r="D1" s="18" t="s">
        <v>194</v>
      </c>
      <c r="E1" s="18" t="s">
        <v>195</v>
      </c>
      <c r="F1" s="18" t="s">
        <v>196</v>
      </c>
      <c r="G1" s="18" t="s">
        <v>197</v>
      </c>
      <c r="H1" s="19" t="s">
        <v>198</v>
      </c>
    </row>
    <row r="2" spans="1:8" ht="15">
      <c r="A2" s="20" t="s">
        <v>101</v>
      </c>
      <c r="B2" s="16">
        <f>SUM('Winner Calculation'!D2:D11)-SUM('Ohana Matches'!D2:D11)</f>
        <v>222</v>
      </c>
      <c r="C2" s="16">
        <f>SUM('Winner Calculation'!D12:D21)-SUM('Ohana Matches'!D12:D21)</f>
        <v>0</v>
      </c>
      <c r="D2" s="16">
        <f>SUM('Winner Calculation'!D22:D31)-SUM('Ohana Matches'!D22:D31)</f>
        <v>0</v>
      </c>
      <c r="E2" s="16">
        <f>SUM('Winner Calculation'!D32:D41)-SUM('Ohana Matches'!D32:D41)</f>
        <v>0</v>
      </c>
      <c r="F2" s="16">
        <f>SUM('Winner Calculation'!D42:D51)-SUM('Ohana Matches'!D42:D51)</f>
        <v>0</v>
      </c>
      <c r="G2" s="16">
        <f>SUM('Winner Calculation'!D52:D61)-SUM('Ohana Matches'!D52:D61)</f>
        <v>0</v>
      </c>
      <c r="H2" s="21">
        <f>SUM('Winner Calculation'!D62:D71)-SUM('Ohana Matches'!D62:D71)</f>
        <v>0</v>
      </c>
    </row>
    <row r="3" spans="1:8" ht="15">
      <c r="A3" s="20" t="s">
        <v>102</v>
      </c>
      <c r="B3" s="16">
        <f>SUM('Winner Calculation'!E2:E11)-SUM('Ohana Matches'!E2:E11)</f>
        <v>-50</v>
      </c>
      <c r="C3" s="16">
        <f>SUM('Winner Calculation'!E12:E21)-SUM('Ohana Matches'!E12:E21)</f>
        <v>0</v>
      </c>
      <c r="D3" s="16">
        <f>SUM('Winner Calculation'!E22:E31)-SUM('Ohana Matches'!E22:E31)</f>
        <v>0</v>
      </c>
      <c r="E3" s="16">
        <f>SUM('Winner Calculation'!E32:E41)-SUM('Ohana Matches'!E32:E41)</f>
        <v>0</v>
      </c>
      <c r="F3" s="16">
        <f>SUM('Winner Calculation'!E42:E51)-SUM('Ohana Matches'!E42:E51)</f>
        <v>0</v>
      </c>
      <c r="G3" s="16">
        <f>SUM('Winner Calculation'!E52:E61)-SUM('Ohana Matches'!E52:E61)</f>
        <v>0</v>
      </c>
      <c r="H3" s="21">
        <f>SUM('Winner Calculation'!E62:E71)-SUM('Ohana Matches'!E62:E71)</f>
        <v>0</v>
      </c>
    </row>
    <row r="4" spans="1:8" ht="15">
      <c r="A4" s="20" t="s">
        <v>103</v>
      </c>
      <c r="B4" s="16">
        <f>SUM('Winner Calculation'!F2:F11)-SUM('Ohana Matches'!F2:F11)</f>
        <v>-50</v>
      </c>
      <c r="C4" s="16">
        <f>SUM('Winner Calculation'!F12:F21)-SUM('Ohana Matches'!F12:F21)</f>
        <v>0</v>
      </c>
      <c r="D4" s="16">
        <f>SUM('Winner Calculation'!F22:F31)-SUM('Ohana Matches'!F22:F31)</f>
        <v>0</v>
      </c>
      <c r="E4" s="16">
        <f>SUM('Winner Calculation'!F32:F41)-SUM('Ohana Matches'!F32:F41)</f>
        <v>0</v>
      </c>
      <c r="F4" s="16">
        <f>SUM('Winner Calculation'!F42:F51)-SUM('Ohana Matches'!F42:F51)</f>
        <v>0</v>
      </c>
      <c r="G4" s="16">
        <f>SUM('Winner Calculation'!F52:F61)-SUM('Ohana Matches'!F52:F61)</f>
        <v>0</v>
      </c>
      <c r="H4" s="21">
        <f>SUM('Winner Calculation'!F62:F71)-SUM('Ohana Matches'!F62:F71)</f>
        <v>0</v>
      </c>
    </row>
    <row r="5" spans="1:8" ht="15">
      <c r="A5" s="20" t="s">
        <v>104</v>
      </c>
      <c r="B5" s="16">
        <f>SUM('Winner Calculation'!G2:G11)-SUM('Ohana Matches'!G2:G11)</f>
        <v>-50</v>
      </c>
      <c r="C5" s="16">
        <f>SUM('Winner Calculation'!G12:G21)-SUM('Ohana Matches'!G12:G21)</f>
        <v>0</v>
      </c>
      <c r="D5" s="16">
        <f>SUM('Winner Calculation'!G22:G31)-SUM('Ohana Matches'!G22:G31)</f>
        <v>0</v>
      </c>
      <c r="E5" s="16">
        <f>SUM('Winner Calculation'!G32:G41)-SUM('Ohana Matches'!G32:G41)</f>
        <v>0</v>
      </c>
      <c r="F5" s="16">
        <f>SUM('Winner Calculation'!G42:G51)-SUM('Ohana Matches'!G42:G51)</f>
        <v>0</v>
      </c>
      <c r="G5" s="16">
        <f>SUM('Winner Calculation'!G52:G61)-SUM('Ohana Matches'!G52:G61)</f>
        <v>0</v>
      </c>
      <c r="H5" s="21">
        <f>SUM('Winner Calculation'!G62:G71)-SUM('Ohana Matches'!G62:G71)</f>
        <v>0</v>
      </c>
    </row>
    <row r="6" spans="1:8" ht="15">
      <c r="A6" s="20" t="s">
        <v>105</v>
      </c>
      <c r="B6" s="16">
        <f>SUM('Winner Calculation'!H2:H11)-SUM('Ohana Matches'!H2:H11)</f>
        <v>120</v>
      </c>
      <c r="C6" s="16">
        <f>SUM('Winner Calculation'!H12:H21)-SUM('Ohana Matches'!H12:H21)</f>
        <v>0</v>
      </c>
      <c r="D6" s="16">
        <f>SUM('Winner Calculation'!H22:H31)-SUM('Ohana Matches'!H22:H31)</f>
        <v>0</v>
      </c>
      <c r="E6" s="16">
        <f>SUM('Winner Calculation'!H32:H41)-SUM('Ohana Matches'!H32:H41)</f>
        <v>0</v>
      </c>
      <c r="F6" s="16">
        <f>SUM('Winner Calculation'!H42:H51)-SUM('Ohana Matches'!H42:H51)</f>
        <v>0</v>
      </c>
      <c r="G6" s="16">
        <f>SUM('Winner Calculation'!H52:H61)-SUM('Ohana Matches'!H52:H61)</f>
        <v>0</v>
      </c>
      <c r="H6" s="21">
        <f>SUM('Winner Calculation'!H62:H71)-SUM('Ohana Matches'!H62:H71)</f>
        <v>0</v>
      </c>
    </row>
    <row r="7" spans="1:8" ht="15">
      <c r="A7" s="20" t="s">
        <v>106</v>
      </c>
      <c r="B7" s="16">
        <f>SUM('Winner Calculation'!$I2:$I11)-SUM('Ohana Matches'!$I2:$I11)</f>
        <v>-50</v>
      </c>
      <c r="C7" s="16">
        <f>SUM('Winner Calculation'!$I12:$I21)-SUM('Ohana Matches'!$I12:$I21)</f>
        <v>0</v>
      </c>
      <c r="D7" s="16">
        <f>SUM('Winner Calculation'!$I22:$I31)-SUM('Ohana Matches'!$I22:$I31)</f>
        <v>0</v>
      </c>
      <c r="E7" s="16">
        <f>SUM('Winner Calculation'!$I32:$I41)-SUM('Ohana Matches'!$I32:$I41)</f>
        <v>0</v>
      </c>
      <c r="F7" s="16">
        <f>SUM('Winner Calculation'!$I42:$I51)-SUM('Ohana Matches'!$I42:$I51)</f>
        <v>0</v>
      </c>
      <c r="G7" s="16">
        <f>SUM('Winner Calculation'!$I52:$I61)-SUM('Ohana Matches'!$I52:$I61)</f>
        <v>0</v>
      </c>
      <c r="H7" s="21">
        <f>SUM('Winner Calculation'!$I62:$I71)-SUM('Ohana Matches'!$I62:$I71)</f>
        <v>0</v>
      </c>
    </row>
    <row r="8" spans="1:8" ht="15">
      <c r="A8" s="20" t="s">
        <v>107</v>
      </c>
      <c r="B8" s="16">
        <f>SUM('Winner Calculation'!$J2:$J11)-SUM('Ohana Matches'!$J2:$J11)</f>
        <v>31.599999999999994</v>
      </c>
      <c r="C8" s="16">
        <f>SUM('Winner Calculation'!$J12:$J21)-SUM('Ohana Matches'!$J12:$J21)</f>
        <v>0</v>
      </c>
      <c r="D8" s="16">
        <f>SUM('Winner Calculation'!$J22:$J31)-SUM('Ohana Matches'!$J22:$J31)</f>
        <v>0</v>
      </c>
      <c r="E8" s="16">
        <f>SUM('Winner Calculation'!$J32:$J41)-SUM('Ohana Matches'!$J32:$J41)</f>
        <v>0</v>
      </c>
      <c r="F8" s="16">
        <f>SUM('Winner Calculation'!$J42:$J51)-SUM('Ohana Matches'!$J42:$J51)</f>
        <v>0</v>
      </c>
      <c r="G8" s="16">
        <f>SUM('Winner Calculation'!$J52:$J61)-SUM('Ohana Matches'!$J52:$J61)</f>
        <v>0</v>
      </c>
      <c r="H8" s="21">
        <f>SUM('Winner Calculation'!$J62:$J71)-SUM('Ohana Matches'!$J62:$J71)</f>
        <v>0</v>
      </c>
    </row>
    <row r="9" spans="1:8" ht="16.5" customHeight="1">
      <c r="A9" s="20" t="s">
        <v>108</v>
      </c>
      <c r="B9" s="16">
        <f>SUM('Winner Calculation'!$K2:$K11)-SUM('Ohana Matches'!$K2:$K11)</f>
        <v>-30</v>
      </c>
      <c r="C9" s="16">
        <f>SUM('Winner Calculation'!$K12:$K21)-SUM('Ohana Matches'!$K12:$K21)</f>
        <v>0</v>
      </c>
      <c r="D9" s="16">
        <f>SUM('Winner Calculation'!$K22:$K31)-SUM('Ohana Matches'!$K22:$K31)</f>
        <v>0</v>
      </c>
      <c r="E9" s="16">
        <f>SUM('Winner Calculation'!$K32:$K41)-SUM('Ohana Matches'!$K32:$K41)</f>
        <v>0</v>
      </c>
      <c r="F9" s="16">
        <f>SUM('Winner Calculation'!$K42:$K51)-SUM('Ohana Matches'!$K42:$K51)</f>
        <v>0</v>
      </c>
      <c r="G9" s="16">
        <f>SUM('Winner Calculation'!$K52:$K61)-SUM('Ohana Matches'!$K52:$K61)</f>
        <v>0</v>
      </c>
      <c r="H9" s="21">
        <f>SUM('Winner Calculation'!$K62:$K71)-SUM('Ohana Matches'!$K62:$K71)</f>
        <v>0</v>
      </c>
    </row>
    <row r="10" spans="1:8" ht="15">
      <c r="A10" s="20" t="s">
        <v>109</v>
      </c>
      <c r="B10" s="16">
        <f>SUM('Winner Calculation'!$L2:$L11)-SUM('Ohana Matches'!$L2:$L11)</f>
        <v>52</v>
      </c>
      <c r="C10" s="16">
        <f>SUM('Winner Calculation'!$L12:$L21)-SUM('Ohana Matches'!$L12:$L21)</f>
        <v>0</v>
      </c>
      <c r="D10" s="16">
        <f>SUM('Winner Calculation'!$L22:$L31)-SUM('Ohana Matches'!$L22:$L31)</f>
        <v>0</v>
      </c>
      <c r="E10" s="16">
        <f>SUM('Winner Calculation'!$L32:$L41)-SUM('Ohana Matches'!$L32:$L41)</f>
        <v>0</v>
      </c>
      <c r="F10" s="16">
        <f>SUM('Winner Calculation'!$L42:$L51)-SUM('Ohana Matches'!$L42:$L51)</f>
        <v>0</v>
      </c>
      <c r="G10" s="16">
        <f>SUM('Winner Calculation'!$L52:$L61)-SUM('Ohana Matches'!$L52:$L61)</f>
        <v>0</v>
      </c>
      <c r="H10" s="21">
        <f>SUM('Winner Calculation'!$L62:$L71)-SUM('Ohana Matches'!$L62:$L71)</f>
        <v>0</v>
      </c>
    </row>
    <row r="11" spans="1:8" ht="15">
      <c r="A11" s="20" t="s">
        <v>110</v>
      </c>
      <c r="B11" s="16">
        <f>SUM('Winner Calculation'!$M2:$M11)-SUM('Ohana Matches'!$M2:$M11)</f>
        <v>-50</v>
      </c>
      <c r="C11" s="16">
        <f>SUM('Winner Calculation'!$M12:$M21)-SUM('Ohana Matches'!$M12:$M21)</f>
        <v>0</v>
      </c>
      <c r="D11" s="16">
        <f>SUM('Winner Calculation'!$M22:$M31)-SUM('Ohana Matches'!$M22:$M31)</f>
        <v>0</v>
      </c>
      <c r="E11" s="16">
        <f>SUM('Winner Calculation'!$M32:$M41)-SUM('Ohana Matches'!$M32:$M41)</f>
        <v>0</v>
      </c>
      <c r="F11" s="16">
        <f>SUM('Winner Calculation'!$M42:$M51)-SUM('Ohana Matches'!$M42:$M51)</f>
        <v>0</v>
      </c>
      <c r="G11" s="16">
        <f>SUM('Winner Calculation'!$M52:$M761)-SUM('Ohana Matches'!$M52:$M61)</f>
        <v>0</v>
      </c>
      <c r="H11" s="21">
        <f>SUM('Winner Calculation'!$M62:$M71)-SUM('Ohana Matches'!$M62:$M71)</f>
        <v>0</v>
      </c>
    </row>
    <row r="12" spans="1:8" ht="15">
      <c r="A12" s="20" t="s">
        <v>111</v>
      </c>
      <c r="B12" s="16">
        <f>SUM('Winner Calculation'!$N2:$N11)-SUM('Ohana Matches'!$N2:$N11)</f>
        <v>-50</v>
      </c>
      <c r="C12" s="16">
        <f>SUM('Winner Calculation'!$N12:$N21)-SUM('Ohana Matches'!$N12:$N21)</f>
        <v>0</v>
      </c>
      <c r="D12" s="16">
        <f>SUM('Winner Calculation'!$N22:$N31)-SUM('Ohana Matches'!$N22:$N31)</f>
        <v>0</v>
      </c>
      <c r="E12" s="16">
        <f>SUM('Winner Calculation'!$N32:$N41)-SUM('Ohana Matches'!$N32:$N41)</f>
        <v>0</v>
      </c>
      <c r="F12" s="16">
        <f>SUM('Winner Calculation'!$N42:$N51)-SUM('Ohana Matches'!$N42:$N51)</f>
        <v>0</v>
      </c>
      <c r="G12" s="16">
        <f>SUM('Winner Calculation'!$N52:$N61)-SUM('Ohana Matches'!$N52:$N61)</f>
        <v>0</v>
      </c>
      <c r="H12" s="21">
        <f>SUM('Winner Calculation'!$N62:$N71)-SUM('Ohana Matches'!$N62:$N71)</f>
        <v>0</v>
      </c>
    </row>
    <row r="13" spans="1:8" ht="15">
      <c r="A13" s="20" t="s">
        <v>112</v>
      </c>
      <c r="B13" s="16">
        <f>SUM('Winner Calculation'!$O2:$O11)-SUM('Ohana Matches'!$O2:$O11)</f>
        <v>-50</v>
      </c>
      <c r="C13" s="16">
        <f>SUM('Winner Calculation'!$O12:$O21)-SUM('Ohana Matches'!$O12:$O21)</f>
        <v>0</v>
      </c>
      <c r="D13" s="16">
        <f>SUM('Winner Calculation'!$O22:$O31)-SUM('Ohana Matches'!$O22:$O31)</f>
        <v>0</v>
      </c>
      <c r="E13" s="16">
        <f>SUM('Winner Calculation'!$O32:$O41)-SUM('Ohana Matches'!$O32:$O41)</f>
        <v>0</v>
      </c>
      <c r="F13" s="16">
        <f>SUM('Winner Calculation'!$O42:$O51)-SUM('Ohana Matches'!$O42:$O51)</f>
        <v>0</v>
      </c>
      <c r="G13" s="16">
        <f>SUM('Winner Calculation'!$O52:$O61)-SUM('Ohana Matches'!$O52:$O61)</f>
        <v>0</v>
      </c>
      <c r="H13" s="21">
        <f>SUM('Winner Calculation'!$O62:$O71)-SUM('Ohana Matches'!$O62:$O71)</f>
        <v>0</v>
      </c>
    </row>
    <row r="14" spans="1:8" ht="15">
      <c r="A14" s="20" t="s">
        <v>113</v>
      </c>
      <c r="B14" s="16">
        <f>SUM('Winner Calculation'!$P2:$P11)-SUM('Ohana Matches'!$P2:$P11)</f>
        <v>4.3999999999999986</v>
      </c>
      <c r="C14" s="16">
        <f>SUM('Winner Calculation'!$P12:$P21)-SUM('Ohana Matches'!$P12:$P21)</f>
        <v>0</v>
      </c>
      <c r="D14" s="16">
        <f>SUM('Winner Calculation'!$P22:$P31)-SUM('Ohana Matches'!$P22:$P31)</f>
        <v>0</v>
      </c>
      <c r="E14" s="16">
        <f>SUM('Winner Calculation'!$P32:$P41)-SUM('Ohana Matches'!$P32:$P41)</f>
        <v>0</v>
      </c>
      <c r="F14" s="16">
        <f>SUM('Winner Calculation'!$P42:$P51)-SUM('Ohana Matches'!$P42:$P51)</f>
        <v>0</v>
      </c>
      <c r="G14" s="16">
        <f>SUM('Winner Calculation'!$P52:$P61)-SUM('Ohana Matches'!$P52:$P61)</f>
        <v>0</v>
      </c>
      <c r="H14" s="21">
        <f>SUM('Winner Calculation'!$P62:$P71)-SUM('Ohana Matches'!$P62:$P71)</f>
        <v>0</v>
      </c>
    </row>
    <row r="15" spans="1:8" ht="15">
      <c r="A15" s="20" t="s">
        <v>114</v>
      </c>
      <c r="B15" s="16">
        <f>SUM('Winner Calculation'!$Q2:$Q11)-SUM('Ohana Matches'!$P2:$P11)</f>
        <v>-50</v>
      </c>
      <c r="C15" s="16">
        <f>SUM('Winner Calculation'!$Q12:$Q21)-SUM('Ohana Matches'!$P12:$P21)</f>
        <v>0</v>
      </c>
      <c r="D15" s="16">
        <f>SUM('Winner Calculation'!$Q22:$Q31)-SUM('Ohana Matches'!$P22:$P31)</f>
        <v>0</v>
      </c>
      <c r="E15" s="16">
        <f>SUM('Winner Calculation'!$Q32:$Q41)-SUM('Ohana Matches'!$P32:$P41)</f>
        <v>0</v>
      </c>
      <c r="F15" s="16">
        <f>SUM('Winner Calculation'!$Q42:$Q51)-SUM('Ohana Matches'!$P42:$P51)</f>
        <v>0</v>
      </c>
      <c r="G15" s="16">
        <f>SUM('Winner Calculation'!$Q52:$Q61)-SUM('Ohana Matches'!$P52:$P61)</f>
        <v>0</v>
      </c>
      <c r="H15" s="21">
        <f>SUM('Winner Calculation'!$Q62:$Q71)-SUM('Ohana Matches'!$P62:$P71)</f>
        <v>0</v>
      </c>
    </row>
    <row r="16" spans="1:8" ht="15">
      <c r="A16" s="22" t="s">
        <v>115</v>
      </c>
      <c r="B16" s="23">
        <f>SUM(B2:B15)</f>
        <v>0</v>
      </c>
      <c r="C16" s="23">
        <f t="shared" ref="C16:H16" si="0">SUM(C2:C14)</f>
        <v>0</v>
      </c>
      <c r="D16" s="23">
        <f t="shared" si="0"/>
        <v>0</v>
      </c>
      <c r="E16" s="23">
        <f t="shared" si="0"/>
        <v>0</v>
      </c>
      <c r="F16" s="23">
        <f t="shared" si="0"/>
        <v>0</v>
      </c>
      <c r="G16" s="23">
        <f t="shared" si="0"/>
        <v>0</v>
      </c>
      <c r="H16" s="24">
        <f t="shared" si="0"/>
        <v>0</v>
      </c>
    </row>
    <row r="17" ht="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3000-F610-43C0-936F-CCBA0487C5A7}">
  <dimension ref="B1:E16"/>
  <sheetViews>
    <sheetView workbookViewId="0">
      <selection activeCell="E9" sqref="E9"/>
    </sheetView>
  </sheetViews>
  <sheetFormatPr defaultRowHeight="15"/>
  <cols>
    <col min="2" max="3" width="25.140625" customWidth="1"/>
    <col min="4" max="4" width="11.7109375" bestFit="1" customWidth="1"/>
    <col min="5" max="5" width="25.140625" customWidth="1"/>
  </cols>
  <sheetData>
    <row r="1" spans="2:5" ht="16.5" customHeight="1">
      <c r="B1" t="s">
        <v>199</v>
      </c>
      <c r="C1" t="s">
        <v>200</v>
      </c>
      <c r="D1" t="s">
        <v>201</v>
      </c>
      <c r="E1" t="s">
        <v>202</v>
      </c>
    </row>
    <row r="2" spans="2:5" ht="16.5" customHeight="1">
      <c r="B2" s="15" t="s">
        <v>101</v>
      </c>
      <c r="C2" t="s">
        <v>187</v>
      </c>
    </row>
    <row r="3" spans="2:5" ht="16.5" customHeight="1">
      <c r="B3" s="15" t="s">
        <v>102</v>
      </c>
      <c r="C3" t="s">
        <v>189</v>
      </c>
      <c r="E3" s="35" t="s">
        <v>190</v>
      </c>
    </row>
    <row r="4" spans="2:5" ht="16.5" customHeight="1">
      <c r="B4" s="15" t="s">
        <v>103</v>
      </c>
    </row>
    <row r="5" spans="2:5" ht="16.5" customHeight="1">
      <c r="B5" s="31" t="s">
        <v>104</v>
      </c>
      <c r="C5" t="s">
        <v>203</v>
      </c>
    </row>
    <row r="6" spans="2:5" ht="16.5" customHeight="1">
      <c r="B6" s="31" t="s">
        <v>105</v>
      </c>
      <c r="C6" t="s">
        <v>204</v>
      </c>
    </row>
    <row r="7" spans="2:5" ht="16.5" customHeight="1">
      <c r="B7" s="15" t="s">
        <v>106</v>
      </c>
    </row>
    <row r="8" spans="2:5" ht="16.5" customHeight="1">
      <c r="B8" s="15" t="s">
        <v>107</v>
      </c>
    </row>
    <row r="9" spans="2:5" ht="16.5" customHeight="1">
      <c r="B9" s="15" t="s">
        <v>108</v>
      </c>
      <c r="C9" t="s">
        <v>205</v>
      </c>
    </row>
    <row r="10" spans="2:5" ht="16.5" customHeight="1">
      <c r="B10" s="15" t="s">
        <v>109</v>
      </c>
      <c r="C10" t="s">
        <v>206</v>
      </c>
    </row>
    <row r="11" spans="2:5" ht="16.5" customHeight="1">
      <c r="B11" s="15" t="s">
        <v>110</v>
      </c>
      <c r="C11" t="s">
        <v>110</v>
      </c>
    </row>
    <row r="12" spans="2:5" ht="16.5" customHeight="1">
      <c r="B12" s="15" t="s">
        <v>111</v>
      </c>
      <c r="C12" t="s">
        <v>207</v>
      </c>
    </row>
    <row r="13" spans="2:5" ht="16.5" customHeight="1">
      <c r="B13" s="15" t="s">
        <v>112</v>
      </c>
      <c r="C13" t="s">
        <v>208</v>
      </c>
    </row>
    <row r="14" spans="2:5" ht="16.5" customHeight="1">
      <c r="B14" s="15" t="s">
        <v>113</v>
      </c>
      <c r="C14" t="s">
        <v>209</v>
      </c>
    </row>
    <row r="15" spans="2:5" ht="16.5" customHeight="1">
      <c r="B15" s="15" t="s">
        <v>114</v>
      </c>
      <c r="C15" t="s">
        <v>210</v>
      </c>
      <c r="D15">
        <v>8976627091</v>
      </c>
      <c r="E15" s="35" t="s">
        <v>211</v>
      </c>
    </row>
    <row r="16" spans="2:5" ht="17.25" customHeight="1"/>
  </sheetData>
  <hyperlinks>
    <hyperlink ref="E15" r:id="rId1" xr:uid="{E6633CDA-099F-4FED-9B91-D4EECB051FE2}"/>
    <hyperlink ref="E3" r:id="rId2" xr:uid="{F3EE81F5-7BBB-4FCE-B870-B7A45CF4B3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2026-03-28T05:02:54Z</dcterms:created>
  <dcterms:modified xsi:type="dcterms:W3CDTF">2026-03-28T08:25:35Z</dcterms:modified>
  <cp:category/>
  <cp:contentStatus/>
</cp:coreProperties>
</file>